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MDT1-6\TH-TuanX-Nhom01\03-phan-tich\"/>
    </mc:Choice>
  </mc:AlternateContent>
  <xr:revisionPtr revIDLastSave="0" documentId="13_ncr:1_{84AD3947-6C68-4E6E-BAF2-CF0D41BDDB9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raffic" sheetId="1" r:id="rId1"/>
    <sheet name="ad_spend" sheetId="2" r:id="rId2"/>
    <sheet name="customers" sheetId="3" r:id="rId3"/>
    <sheet name="products" sheetId="4" r:id="rId4"/>
    <sheet name="Tong_ho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43" i="5"/>
  <c r="B49" i="5"/>
  <c r="B48" i="5"/>
  <c r="C55" i="5" s="1"/>
  <c r="B38" i="5"/>
  <c r="B39" i="5" s="1"/>
  <c r="B36" i="5"/>
  <c r="B35" i="5"/>
  <c r="C31" i="5"/>
  <c r="D31" i="5" s="1"/>
  <c r="B44" i="5" s="1"/>
  <c r="B31" i="5"/>
  <c r="D30" i="5"/>
  <c r="B43" i="5" s="1"/>
  <c r="C30" i="5"/>
  <c r="B30" i="5"/>
  <c r="D26" i="5"/>
  <c r="C26" i="5"/>
  <c r="E26" i="5" s="1"/>
  <c r="F26" i="5" s="1"/>
  <c r="D25" i="5"/>
  <c r="C25" i="5"/>
  <c r="E25" i="5" s="1"/>
  <c r="F25" i="5" s="1"/>
  <c r="D24" i="5"/>
  <c r="C24" i="5"/>
  <c r="E24" i="5" s="1"/>
  <c r="F24" i="5" s="1"/>
  <c r="D23" i="5"/>
  <c r="C23" i="5"/>
  <c r="G8" i="5"/>
  <c r="M8" i="5" s="1"/>
  <c r="F8" i="5"/>
  <c r="K8" i="5" s="1"/>
  <c r="E8" i="5"/>
  <c r="J8" i="5" s="1"/>
  <c r="D8" i="5"/>
  <c r="I8" i="5" s="1"/>
  <c r="C8" i="5"/>
  <c r="H8" i="5" s="1"/>
  <c r="B8" i="5"/>
  <c r="G7" i="5"/>
  <c r="M7" i="5" s="1"/>
  <c r="F7" i="5"/>
  <c r="L7" i="5" s="1"/>
  <c r="E7" i="5"/>
  <c r="J7" i="5" s="1"/>
  <c r="D7" i="5"/>
  <c r="I7" i="5" s="1"/>
  <c r="C7" i="5"/>
  <c r="H7" i="5" s="1"/>
  <c r="B7" i="5"/>
  <c r="M6" i="5"/>
  <c r="G6" i="5"/>
  <c r="F6" i="5"/>
  <c r="K6" i="5" s="1"/>
  <c r="E6" i="5"/>
  <c r="J6" i="5" s="1"/>
  <c r="D6" i="5"/>
  <c r="I6" i="5" s="1"/>
  <c r="C6" i="5"/>
  <c r="H6" i="5" s="1"/>
  <c r="B6" i="5"/>
  <c r="L6" i="5" s="1"/>
  <c r="G5" i="5"/>
  <c r="M5" i="5" s="1"/>
  <c r="F5" i="5"/>
  <c r="L5" i="5" s="1"/>
  <c r="E5" i="5"/>
  <c r="D5" i="5"/>
  <c r="I5" i="5" s="1"/>
  <c r="C5" i="5"/>
  <c r="B5" i="5"/>
  <c r="H5" i="5" s="1"/>
  <c r="G4" i="5"/>
  <c r="G9" i="5" s="1"/>
  <c r="M9" i="5" s="1"/>
  <c r="F4" i="5"/>
  <c r="F9" i="5" s="1"/>
  <c r="E4" i="5"/>
  <c r="E9" i="5" s="1"/>
  <c r="D4" i="5"/>
  <c r="D9" i="5" s="1"/>
  <c r="C4" i="5"/>
  <c r="C9" i="5" s="1"/>
  <c r="B4" i="5"/>
  <c r="B9" i="5" s="1"/>
  <c r="B14" i="5" s="1"/>
  <c r="E23" i="5" l="1"/>
  <c r="F23" i="5" s="1"/>
  <c r="H9" i="5"/>
  <c r="C14" i="5" s="1"/>
  <c r="B15" i="5"/>
  <c r="F15" i="5" s="1"/>
  <c r="H15" i="5" s="1"/>
  <c r="I9" i="5"/>
  <c r="C15" i="5" s="1"/>
  <c r="B16" i="5"/>
  <c r="B17" i="5"/>
  <c r="F17" i="5" s="1"/>
  <c r="H17" i="5" s="1"/>
  <c r="J9" i="5"/>
  <c r="C16" i="5" s="1"/>
  <c r="L9" i="5"/>
  <c r="K9" i="5"/>
  <c r="C17" i="5" s="1"/>
  <c r="C44" i="5"/>
  <c r="D44" i="5" s="1"/>
  <c r="C43" i="5"/>
  <c r="D43" i="5" s="1"/>
  <c r="K4" i="5"/>
  <c r="L8" i="5"/>
  <c r="L4" i="5"/>
  <c r="M4" i="5"/>
  <c r="B52" i="5"/>
  <c r="K5" i="5"/>
  <c r="H4" i="5"/>
  <c r="I4" i="5"/>
  <c r="J4" i="5"/>
  <c r="K7" i="5"/>
  <c r="C52" i="5"/>
  <c r="B53" i="5"/>
  <c r="C53" i="5"/>
  <c r="B54" i="5"/>
  <c r="C54" i="5"/>
  <c r="B55" i="5"/>
  <c r="D55" i="5" s="1"/>
  <c r="J5" i="5"/>
  <c r="D54" i="5" l="1"/>
  <c r="C56" i="5"/>
  <c r="D53" i="5"/>
  <c r="F14" i="5"/>
  <c r="H14" i="5" s="1"/>
  <c r="F16" i="5"/>
  <c r="H16" i="5" s="1"/>
  <c r="B56" i="5"/>
  <c r="D52" i="5"/>
</calcChain>
</file>

<file path=xl/sharedStrings.xml><?xml version="1.0" encoding="utf-8"?>
<sst xmlns="http://schemas.openxmlformats.org/spreadsheetml/2006/main" count="3187" uniqueCount="790">
  <si>
    <t>ngay</t>
  </si>
  <si>
    <t>nguon</t>
  </si>
  <si>
    <t>phien</t>
  </si>
  <si>
    <t>xem_san_pham</t>
  </si>
  <si>
    <t>them_gio</t>
  </si>
  <si>
    <t>bat_dau_thanh_toan</t>
  </si>
  <si>
    <t>don_hoan_tat</t>
  </si>
  <si>
    <t>doanh_thu</t>
  </si>
  <si>
    <t>2026-06-01</t>
  </si>
  <si>
    <t>organic</t>
  </si>
  <si>
    <t>paid_search</t>
  </si>
  <si>
    <t>social_paid</t>
  </si>
  <si>
    <t>social_organic</t>
  </si>
  <si>
    <t>email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</si>
  <si>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</si>
  <si>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</si>
  <si>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</si>
  <si>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</si>
  <si>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</si>
  <si>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</si>
  <si>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</si>
  <si>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</si>
  <si>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</si>
  <si>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</si>
  <si>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</si>
  <si>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</si>
  <si>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</si>
  <si>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</si>
  <si>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</si>
  <si>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</si>
  <si>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</si>
  <si>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</si>
  <si>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</si>
  <si>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</si>
  <si>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</si>
  <si>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</si>
  <si>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</si>
  <si>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</si>
  <si>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</si>
  <si>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</si>
  <si>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</si>
  <si>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</si>
  <si>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</si>
  <si>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</si>
  <si>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</si>
  <si>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</si>
  <si>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</si>
  <si>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</si>
  <si>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</si>
  <si>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</si>
  <si>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</si>
  <si>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</si>
  <si>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</si>
  <si>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</si>
  <si>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</si>
  <si>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</si>
  <si>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</si>
  <si>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</si>
  <si>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</si>
  <si>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</si>
  <si>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</si>
  <si>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</si>
  <si>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</si>
  <si>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</si>
  <si>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</si>
  <si>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</si>
  <si>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</si>
  <si>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</si>
  <si>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</si>
  <si>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</si>
  <si>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</si>
  <si>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</si>
  <si>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</si>
  <si>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kenh</t>
  </si>
  <si>
    <t>chien_dich</t>
  </si>
  <si>
    <t>hien_thi</t>
  </si>
  <si>
    <t>luot_nhap</t>
  </si>
  <si>
    <t>chi_phi</t>
  </si>
  <si>
    <t>chuyen_doi</t>
  </si>
  <si>
    <t>doanh_thu_quy_ket</t>
  </si>
  <si>
    <t>TK-thuong-hieu</t>
  </si>
  <si>
    <t>TK-danh-muc</t>
  </si>
  <si>
    <t>MXH-nhan-biet</t>
  </si>
  <si>
    <t>MXH-tiep-thi-lai</t>
  </si>
  <si>
    <t>ma_khach</t>
  </si>
  <si>
    <t>ngay_dau</t>
  </si>
  <si>
    <t>so_don_12thang</t>
  </si>
  <si>
    <t>doanh_thu_12thang</t>
  </si>
  <si>
    <t>nhom_hang_chinh</t>
  </si>
  <si>
    <t>kenh_thu_hut</t>
  </si>
  <si>
    <t>da_dang_ky_thu</t>
  </si>
  <si>
    <t>KH0001</t>
  </si>
  <si>
    <t>2025-08-13</t>
  </si>
  <si>
    <t>Mỹ thuật</t>
  </si>
  <si>
    <t>Khong</t>
  </si>
  <si>
    <t>KH0002</t>
  </si>
  <si>
    <t>2025-10-19</t>
  </si>
  <si>
    <t>Ba lô &amp; túi</t>
  </si>
  <si>
    <t>Co</t>
  </si>
  <si>
    <t>KH0003</t>
  </si>
  <si>
    <t>2025-11-24</t>
  </si>
  <si>
    <t>Dụng cụ học tập</t>
  </si>
  <si>
    <t>KH0004</t>
  </si>
  <si>
    <t>2026-05-31</t>
  </si>
  <si>
    <t>KH0005</t>
  </si>
  <si>
    <t>2025-08-26</t>
  </si>
  <si>
    <t>KH0006</t>
  </si>
  <si>
    <t>2026-02-20</t>
  </si>
  <si>
    <t>Vở &amp; sổ</t>
  </si>
  <si>
    <t>KH0007</t>
  </si>
  <si>
    <t>2026-02-08</t>
  </si>
  <si>
    <t>KH0008</t>
  </si>
  <si>
    <t>2026-01-01</t>
  </si>
  <si>
    <t>KH0009</t>
  </si>
  <si>
    <t>2025-11-02</t>
  </si>
  <si>
    <t>KH0010</t>
  </si>
  <si>
    <t>2026-05-24</t>
  </si>
  <si>
    <t>KH0011</t>
  </si>
  <si>
    <t>2025-11-20</t>
  </si>
  <si>
    <t>KH0012</t>
  </si>
  <si>
    <t>2025-09-08</t>
  </si>
  <si>
    <t>KH0013</t>
  </si>
  <si>
    <t>2025-09-14</t>
  </si>
  <si>
    <t>KH0014</t>
  </si>
  <si>
    <t>2025-10-26</t>
  </si>
  <si>
    <t>Bút viết</t>
  </si>
  <si>
    <t>KH0015</t>
  </si>
  <si>
    <t>2026-01-09</t>
  </si>
  <si>
    <t>KH0016</t>
  </si>
  <si>
    <t>2026-02-22</t>
  </si>
  <si>
    <t>KH0017</t>
  </si>
  <si>
    <t>2025-11-26</t>
  </si>
  <si>
    <t>KH0018</t>
  </si>
  <si>
    <t>2026-02-21</t>
  </si>
  <si>
    <t>KH0019</t>
  </si>
  <si>
    <t>2025-11-08</t>
  </si>
  <si>
    <t>KH0020</t>
  </si>
  <si>
    <t>2025-08-30</t>
  </si>
  <si>
    <t>KH0021</t>
  </si>
  <si>
    <t>2025-10-13</t>
  </si>
  <si>
    <t>KH0022</t>
  </si>
  <si>
    <t>2025-11-22</t>
  </si>
  <si>
    <t>KH0023</t>
  </si>
  <si>
    <t>2025-09-22</t>
  </si>
  <si>
    <t>KH0024</t>
  </si>
  <si>
    <t>2026-02-18</t>
  </si>
  <si>
    <t>KH0025</t>
  </si>
  <si>
    <t>2026-03-06</t>
  </si>
  <si>
    <t>KH0026</t>
  </si>
  <si>
    <t>2026-04-09</t>
  </si>
  <si>
    <t>KH0027</t>
  </si>
  <si>
    <t>2025-10-01</t>
  </si>
  <si>
    <t>KH0028</t>
  </si>
  <si>
    <t>2026-03-24</t>
  </si>
  <si>
    <t>KH0029</t>
  </si>
  <si>
    <t>2026-04-23</t>
  </si>
  <si>
    <t>KH0030</t>
  </si>
  <si>
    <t>2026-05-05</t>
  </si>
  <si>
    <t>KH0031</t>
  </si>
  <si>
    <t>2026-01-10</t>
  </si>
  <si>
    <t>KH0032</t>
  </si>
  <si>
    <t>2025-10-04</t>
  </si>
  <si>
    <t>KH0033</t>
  </si>
  <si>
    <t>2025-11-28</t>
  </si>
  <si>
    <t>KH0034</t>
  </si>
  <si>
    <t>2026-05-22</t>
  </si>
  <si>
    <t>KH0035</t>
  </si>
  <si>
    <t>2026-02-05</t>
  </si>
  <si>
    <t>KH0036</t>
  </si>
  <si>
    <t>2025-12-29</t>
  </si>
  <si>
    <t>KH0037</t>
  </si>
  <si>
    <t>2026-02-28</t>
  </si>
  <si>
    <t>KH0038</t>
  </si>
  <si>
    <t>2025-10-29</t>
  </si>
  <si>
    <t>KH0039</t>
  </si>
  <si>
    <t>2026-03-09</t>
  </si>
  <si>
    <t>KH0040</t>
  </si>
  <si>
    <t>KH0041</t>
  </si>
  <si>
    <t>2026-04-14</t>
  </si>
  <si>
    <t>KH0042</t>
  </si>
  <si>
    <t>2026-03-01</t>
  </si>
  <si>
    <t>KH0043</t>
  </si>
  <si>
    <t>2026-04-17</t>
  </si>
  <si>
    <t>KH0044</t>
  </si>
  <si>
    <t>KH0045</t>
  </si>
  <si>
    <t>2025-11-19</t>
  </si>
  <si>
    <t>KH0046</t>
  </si>
  <si>
    <t>2025-12-01</t>
  </si>
  <si>
    <t>KH0047</t>
  </si>
  <si>
    <t>2025-09-30</t>
  </si>
  <si>
    <t>KH0048</t>
  </si>
  <si>
    <t>2026-04-21</t>
  </si>
  <si>
    <t>KH0049</t>
  </si>
  <si>
    <t>2025-08-25</t>
  </si>
  <si>
    <t>KH0050</t>
  </si>
  <si>
    <t>2025-12-19</t>
  </si>
  <si>
    <t>KH0051</t>
  </si>
  <si>
    <t>2025-11-09</t>
  </si>
  <si>
    <t>KH0052</t>
  </si>
  <si>
    <t>KH0053</t>
  </si>
  <si>
    <t>KH0054</t>
  </si>
  <si>
    <t>2025-10-25</t>
  </si>
  <si>
    <t>KH0055</t>
  </si>
  <si>
    <t>2025-08-16</t>
  </si>
  <si>
    <t>KH0056</t>
  </si>
  <si>
    <t>KH0057</t>
  </si>
  <si>
    <t>2025-08-06</t>
  </si>
  <si>
    <t>KH0058</t>
  </si>
  <si>
    <t>2025-12-23</t>
  </si>
  <si>
    <t>KH0059</t>
  </si>
  <si>
    <t>2025-09-26</t>
  </si>
  <si>
    <t>KH0060</t>
  </si>
  <si>
    <t>2025-11-16</t>
  </si>
  <si>
    <t>KH0061</t>
  </si>
  <si>
    <t>KH0062</t>
  </si>
  <si>
    <t>2026-01-12</t>
  </si>
  <si>
    <t>KH0063</t>
  </si>
  <si>
    <t>2025-10-24</t>
  </si>
  <si>
    <t>KH0064</t>
  </si>
  <si>
    <t>2025-11-23</t>
  </si>
  <si>
    <t>KH0065</t>
  </si>
  <si>
    <t>2025-09-10</t>
  </si>
  <si>
    <t>KH0066</t>
  </si>
  <si>
    <t>2026-01-16</t>
  </si>
  <si>
    <t>KH0067</t>
  </si>
  <si>
    <t>2026-04-02</t>
  </si>
  <si>
    <t>KH0068</t>
  </si>
  <si>
    <t>2026-01-31</t>
  </si>
  <si>
    <t>KH0069</t>
  </si>
  <si>
    <t>KH0070</t>
  </si>
  <si>
    <t>2025-11-21</t>
  </si>
  <si>
    <t>KH0071</t>
  </si>
  <si>
    <t>2026-03-27</t>
  </si>
  <si>
    <t>KH0072</t>
  </si>
  <si>
    <t>2026-03-08</t>
  </si>
  <si>
    <t>KH0073</t>
  </si>
  <si>
    <t>2025-10-21</t>
  </si>
  <si>
    <t>KH0074</t>
  </si>
  <si>
    <t>2026-03-23</t>
  </si>
  <si>
    <t>KH0075</t>
  </si>
  <si>
    <t>2025-10-18</t>
  </si>
  <si>
    <t>KH0076</t>
  </si>
  <si>
    <t>KH0077</t>
  </si>
  <si>
    <t>KH0078</t>
  </si>
  <si>
    <t>2025-10-31</t>
  </si>
  <si>
    <t>KH0079</t>
  </si>
  <si>
    <t>2026-01-24</t>
  </si>
  <si>
    <t>KH0080</t>
  </si>
  <si>
    <t>2025-09-18</t>
  </si>
  <si>
    <t>KH0081</t>
  </si>
  <si>
    <t>2025-08-08</t>
  </si>
  <si>
    <t>KH0082</t>
  </si>
  <si>
    <t>2026-02-25</t>
  </si>
  <si>
    <t>KH0083</t>
  </si>
  <si>
    <t>2025-08-22</t>
  </si>
  <si>
    <t>KH0084</t>
  </si>
  <si>
    <t>2026-03-19</t>
  </si>
  <si>
    <t>KH0085</t>
  </si>
  <si>
    <t>2025-12-28</t>
  </si>
  <si>
    <t>KH0086</t>
  </si>
  <si>
    <t>KH0087</t>
  </si>
  <si>
    <t>2026-03-13</t>
  </si>
  <si>
    <t>KH0088</t>
  </si>
  <si>
    <t>KH0089</t>
  </si>
  <si>
    <t>KH0090</t>
  </si>
  <si>
    <t>2025-11-01</t>
  </si>
  <si>
    <t>KH0091</t>
  </si>
  <si>
    <t>2025-09-13</t>
  </si>
  <si>
    <t>KH0092</t>
  </si>
  <si>
    <t>KH0093</t>
  </si>
  <si>
    <t>2026-05-26</t>
  </si>
  <si>
    <t>KH0094</t>
  </si>
  <si>
    <t>KH0095</t>
  </si>
  <si>
    <t>2026-03-15</t>
  </si>
  <si>
    <t>KH0096</t>
  </si>
  <si>
    <t>2026-01-11</t>
  </si>
  <si>
    <t>KH0097</t>
  </si>
  <si>
    <t>2025-11-03</t>
  </si>
  <si>
    <t>KH0098</t>
  </si>
  <si>
    <t>2025-11-07</t>
  </si>
  <si>
    <t>KH0099</t>
  </si>
  <si>
    <t>2026-01-15</t>
  </si>
  <si>
    <t>KH0100</t>
  </si>
  <si>
    <t>2026-02-01</t>
  </si>
  <si>
    <t>KH0101</t>
  </si>
  <si>
    <t>2025-10-20</t>
  </si>
  <si>
    <t>KH0102</t>
  </si>
  <si>
    <t>KH0103</t>
  </si>
  <si>
    <t>2025-10-23</t>
  </si>
  <si>
    <t>KH0104</t>
  </si>
  <si>
    <t>KH0105</t>
  </si>
  <si>
    <t>2026-01-23</t>
  </si>
  <si>
    <t>KH0106</t>
  </si>
  <si>
    <t>2025-11-11</t>
  </si>
  <si>
    <t>KH0107</t>
  </si>
  <si>
    <t>2026-05-06</t>
  </si>
  <si>
    <t>KH0108</t>
  </si>
  <si>
    <t>2025-11-15</t>
  </si>
  <si>
    <t>KH0109</t>
  </si>
  <si>
    <t>2025-09-21</t>
  </si>
  <si>
    <t>KH0110</t>
  </si>
  <si>
    <t>2026-05-14</t>
  </si>
  <si>
    <t>KH0111</t>
  </si>
  <si>
    <t>2025-11-06</t>
  </si>
  <si>
    <t>KH0112</t>
  </si>
  <si>
    <t>2025-10-14</t>
  </si>
  <si>
    <t>KH0113</t>
  </si>
  <si>
    <t>2025-11-27</t>
  </si>
  <si>
    <t>KH0114</t>
  </si>
  <si>
    <t>2026-04-28</t>
  </si>
  <si>
    <t>KH0115</t>
  </si>
  <si>
    <t>2025-09-17</t>
  </si>
  <si>
    <t>KH0116</t>
  </si>
  <si>
    <t>2026-05-28</t>
  </si>
  <si>
    <t>KH0117</t>
  </si>
  <si>
    <t>2025-12-31</t>
  </si>
  <si>
    <t>KH0118</t>
  </si>
  <si>
    <t>KH0119</t>
  </si>
  <si>
    <t>2025-10-06</t>
  </si>
  <si>
    <t>KH0120</t>
  </si>
  <si>
    <t>KH0121</t>
  </si>
  <si>
    <t>2025-09-12</t>
  </si>
  <si>
    <t>KH0122</t>
  </si>
  <si>
    <t>2026-04-11</t>
  </si>
  <si>
    <t>KH0123</t>
  </si>
  <si>
    <t>2026-05-09</t>
  </si>
  <si>
    <t>KH0124</t>
  </si>
  <si>
    <t>2025-12-17</t>
  </si>
  <si>
    <t>KH0125</t>
  </si>
  <si>
    <t>2025-08-07</t>
  </si>
  <si>
    <t>KH0126</t>
  </si>
  <si>
    <t>2026-05-29</t>
  </si>
  <si>
    <t>KH0127</t>
  </si>
  <si>
    <t>2026-03-17</t>
  </si>
  <si>
    <t>KH0128</t>
  </si>
  <si>
    <t>2025-10-09</t>
  </si>
  <si>
    <t>KH0129</t>
  </si>
  <si>
    <t>2025-10-27</t>
  </si>
  <si>
    <t>KH0130</t>
  </si>
  <si>
    <t>KH0131</t>
  </si>
  <si>
    <t>KH0132</t>
  </si>
  <si>
    <t>KH0133</t>
  </si>
  <si>
    <t>2025-08-10</t>
  </si>
  <si>
    <t>KH0134</t>
  </si>
  <si>
    <t>2025-12-03</t>
  </si>
  <si>
    <t>KH0135</t>
  </si>
  <si>
    <t>2025-09-06</t>
  </si>
  <si>
    <t>KH0136</t>
  </si>
  <si>
    <t>KH0137</t>
  </si>
  <si>
    <t>2026-01-08</t>
  </si>
  <si>
    <t>KH0138</t>
  </si>
  <si>
    <t>2026-03-14</t>
  </si>
  <si>
    <t>KH0139</t>
  </si>
  <si>
    <t>KH0140</t>
  </si>
  <si>
    <t>2025-12-14</t>
  </si>
  <si>
    <t>KH0141</t>
  </si>
  <si>
    <t>KH0142</t>
  </si>
  <si>
    <t>KH0143</t>
  </si>
  <si>
    <t>2026-01-14</t>
  </si>
  <si>
    <t>KH0144</t>
  </si>
  <si>
    <t>2026-03-28</t>
  </si>
  <si>
    <t>KH0145</t>
  </si>
  <si>
    <t>2026-03-21</t>
  </si>
  <si>
    <t>KH0146</t>
  </si>
  <si>
    <t>2025-12-21</t>
  </si>
  <si>
    <t>KH0147</t>
  </si>
  <si>
    <t>2026-03-31</t>
  </si>
  <si>
    <t>KH0148</t>
  </si>
  <si>
    <t>2025-09-02</t>
  </si>
  <si>
    <t>KH0149</t>
  </si>
  <si>
    <t>2026-01-18</t>
  </si>
  <si>
    <t>KH0150</t>
  </si>
  <si>
    <t>KH0151</t>
  </si>
  <si>
    <t>KH0152</t>
  </si>
  <si>
    <t>2026-02-12</t>
  </si>
  <si>
    <t>KH0153</t>
  </si>
  <si>
    <t>KH0154</t>
  </si>
  <si>
    <t>KH0155</t>
  </si>
  <si>
    <t>KH0156</t>
  </si>
  <si>
    <t>KH0157</t>
  </si>
  <si>
    <t>2026-03-30</t>
  </si>
  <si>
    <t>KH0158</t>
  </si>
  <si>
    <t>2025-12-22</t>
  </si>
  <si>
    <t>KH0159</t>
  </si>
  <si>
    <t>2026-02-24</t>
  </si>
  <si>
    <t>KH0160</t>
  </si>
  <si>
    <t>KH0161</t>
  </si>
  <si>
    <t>KH0162</t>
  </si>
  <si>
    <t>KH0163</t>
  </si>
  <si>
    <t>2026-02-02</t>
  </si>
  <si>
    <t>KH0164</t>
  </si>
  <si>
    <t>KH0165</t>
  </si>
  <si>
    <t>2026-03-22</t>
  </si>
  <si>
    <t>KH0166</t>
  </si>
  <si>
    <t>2026-05-01</t>
  </si>
  <si>
    <t>KH0167</t>
  </si>
  <si>
    <t>KH0168</t>
  </si>
  <si>
    <t>KH0169</t>
  </si>
  <si>
    <t>KH0170</t>
  </si>
  <si>
    <t>KH0171</t>
  </si>
  <si>
    <t>2026-05-04</t>
  </si>
  <si>
    <t>KH0172</t>
  </si>
  <si>
    <t>2026-05-10</t>
  </si>
  <si>
    <t>KH0173</t>
  </si>
  <si>
    <t>KH0174</t>
  </si>
  <si>
    <t>2025-11-17</t>
  </si>
  <si>
    <t>KH0175</t>
  </si>
  <si>
    <t>KH0176</t>
  </si>
  <si>
    <t>KH0177</t>
  </si>
  <si>
    <t>2026-02-19</t>
  </si>
  <si>
    <t>KH0178</t>
  </si>
  <si>
    <t>KH0179</t>
  </si>
  <si>
    <t>KH0180</t>
  </si>
  <si>
    <t>2026-03-20</t>
  </si>
  <si>
    <t>KH0181</t>
  </si>
  <si>
    <t>KH0182</t>
  </si>
  <si>
    <t>2026-01-30</t>
  </si>
  <si>
    <t>KH0183</t>
  </si>
  <si>
    <t>KH0184</t>
  </si>
  <si>
    <t>KH0185</t>
  </si>
  <si>
    <t>2025-12-08</t>
  </si>
  <si>
    <t>KH0186</t>
  </si>
  <si>
    <t>KH0187</t>
  </si>
  <si>
    <t>2025-08-29</t>
  </si>
  <si>
    <t>KH0188</t>
  </si>
  <si>
    <t>2025-11-05</t>
  </si>
  <si>
    <t>KH0189</t>
  </si>
  <si>
    <t>2026-04-10</t>
  </si>
  <si>
    <t>KH0190</t>
  </si>
  <si>
    <t>2026-03-25</t>
  </si>
  <si>
    <t>KH0191</t>
  </si>
  <si>
    <t>2026-04-05</t>
  </si>
  <si>
    <t>KH0192</t>
  </si>
  <si>
    <t>2026-03-07</t>
  </si>
  <si>
    <t>KH0193</t>
  </si>
  <si>
    <t>KH0194</t>
  </si>
  <si>
    <t>KH0195</t>
  </si>
  <si>
    <t>2025-12-30</t>
  </si>
  <si>
    <t>KH0196</t>
  </si>
  <si>
    <t>2025-10-28</t>
  </si>
  <si>
    <t>KH0197</t>
  </si>
  <si>
    <t>2025-09-05</t>
  </si>
  <si>
    <t>KH0198</t>
  </si>
  <si>
    <t>KH0199</t>
  </si>
  <si>
    <t>2025-09-20</t>
  </si>
  <si>
    <t>KH0200</t>
  </si>
  <si>
    <t>2026-03-05</t>
  </si>
  <si>
    <t>KH0201</t>
  </si>
  <si>
    <t>KH0202</t>
  </si>
  <si>
    <t>KH0203</t>
  </si>
  <si>
    <t>2025-09-01</t>
  </si>
  <si>
    <t>KH0204</t>
  </si>
  <si>
    <t>KH0205</t>
  </si>
  <si>
    <t>KH0206</t>
  </si>
  <si>
    <t>2025-10-08</t>
  </si>
  <si>
    <t>KH0207</t>
  </si>
  <si>
    <t>KH0208</t>
  </si>
  <si>
    <t>2025-09-23</t>
  </si>
  <si>
    <t>KH0209</t>
  </si>
  <si>
    <t>KH0210</t>
  </si>
  <si>
    <t>KH0211</t>
  </si>
  <si>
    <t>KH0212</t>
  </si>
  <si>
    <t>KH0213</t>
  </si>
  <si>
    <t>KH0214</t>
  </si>
  <si>
    <t>2025-09-15</t>
  </si>
  <si>
    <t>KH0215</t>
  </si>
  <si>
    <t>KH0216</t>
  </si>
  <si>
    <t>2026-03-04</t>
  </si>
  <si>
    <t>KH0217</t>
  </si>
  <si>
    <t>KH0218</t>
  </si>
  <si>
    <t>KH0219</t>
  </si>
  <si>
    <t>2025-10-03</t>
  </si>
  <si>
    <t>KH0220</t>
  </si>
  <si>
    <t>KH0221</t>
  </si>
  <si>
    <t>KH0222</t>
  </si>
  <si>
    <t>2026-05-03</t>
  </si>
  <si>
    <t>KH0223</t>
  </si>
  <si>
    <t>KH0224</t>
  </si>
  <si>
    <t>2026-05-02</t>
  </si>
  <si>
    <t>KH0225</t>
  </si>
  <si>
    <t>KH0226</t>
  </si>
  <si>
    <t>KH0227</t>
  </si>
  <si>
    <t>2025-09-24</t>
  </si>
  <si>
    <t>KH0228</t>
  </si>
  <si>
    <t>2026-05-20</t>
  </si>
  <si>
    <t>KH0229</t>
  </si>
  <si>
    <t>KH0230</t>
  </si>
  <si>
    <t>KH0231</t>
  </si>
  <si>
    <t>KH0232</t>
  </si>
  <si>
    <t>KH0233</t>
  </si>
  <si>
    <t>2025-11-12</t>
  </si>
  <si>
    <t>KH0234</t>
  </si>
  <si>
    <t>KH0235</t>
  </si>
  <si>
    <t>2026-05-27</t>
  </si>
  <si>
    <t>KH0236</t>
  </si>
  <si>
    <t>KH0237</t>
  </si>
  <si>
    <t>2026-03-12</t>
  </si>
  <si>
    <t>KH0238</t>
  </si>
  <si>
    <t>2025-09-07</t>
  </si>
  <si>
    <t>KH0239</t>
  </si>
  <si>
    <t>KH0240</t>
  </si>
  <si>
    <t>2026-01-29</t>
  </si>
  <si>
    <t>KH0241</t>
  </si>
  <si>
    <t>2025-08-27</t>
  </si>
  <si>
    <t>KH0242</t>
  </si>
  <si>
    <t>KH0243</t>
  </si>
  <si>
    <t>KH0244</t>
  </si>
  <si>
    <t>2025-08-11</t>
  </si>
  <si>
    <t>KH0245</t>
  </si>
  <si>
    <t>KH0246</t>
  </si>
  <si>
    <t>2026-01-04</t>
  </si>
  <si>
    <t>KH0247</t>
  </si>
  <si>
    <t>2026-02-07</t>
  </si>
  <si>
    <t>KH0248</t>
  </si>
  <si>
    <t>KH0249</t>
  </si>
  <si>
    <t>2026-02-06</t>
  </si>
  <si>
    <t>KH0250</t>
  </si>
  <si>
    <t>KH0251</t>
  </si>
  <si>
    <t>KH0252</t>
  </si>
  <si>
    <t>2025-12-26</t>
  </si>
  <si>
    <t>KH0253</t>
  </si>
  <si>
    <t>2026-05-11</t>
  </si>
  <si>
    <t>KH0254</t>
  </si>
  <si>
    <t>KH0255</t>
  </si>
  <si>
    <t>2025-10-15</t>
  </si>
  <si>
    <t>KH0256</t>
  </si>
  <si>
    <t>KH0257</t>
  </si>
  <si>
    <t>KH0258</t>
  </si>
  <si>
    <t>KH0259</t>
  </si>
  <si>
    <t>KH0260</t>
  </si>
  <si>
    <t>KH0261</t>
  </si>
  <si>
    <t>KH0262</t>
  </si>
  <si>
    <t>KH0263</t>
  </si>
  <si>
    <t>KH0264</t>
  </si>
  <si>
    <t>KH0265</t>
  </si>
  <si>
    <t>KH0266</t>
  </si>
  <si>
    <t>KH0267</t>
  </si>
  <si>
    <t>2025-11-30</t>
  </si>
  <si>
    <t>KH0268</t>
  </si>
  <si>
    <t>KH0269</t>
  </si>
  <si>
    <t>KH0270</t>
  </si>
  <si>
    <t>2025-11-25</t>
  </si>
  <si>
    <t>KH0271</t>
  </si>
  <si>
    <t>2026-03-18</t>
  </si>
  <si>
    <t>KH0272</t>
  </si>
  <si>
    <t>KH0273</t>
  </si>
  <si>
    <t>KH0274</t>
  </si>
  <si>
    <t>2025-08-20</t>
  </si>
  <si>
    <t>KH0275</t>
  </si>
  <si>
    <t>KH0276</t>
  </si>
  <si>
    <t>2025-12-24</t>
  </si>
  <si>
    <t>KH0277</t>
  </si>
  <si>
    <t>KH0278</t>
  </si>
  <si>
    <t>KH0279</t>
  </si>
  <si>
    <t>KH0280</t>
  </si>
  <si>
    <t>KH0281</t>
  </si>
  <si>
    <t>2026-05-25</t>
  </si>
  <si>
    <t>KH0282</t>
  </si>
  <si>
    <t>2026-01-13</t>
  </si>
  <si>
    <t>KH0283</t>
  </si>
  <si>
    <t>KH0284</t>
  </si>
  <si>
    <t>2025-10-22</t>
  </si>
  <si>
    <t>KH0285</t>
  </si>
  <si>
    <t>KH0286</t>
  </si>
  <si>
    <t>2025-10-11</t>
  </si>
  <si>
    <t>KH0287</t>
  </si>
  <si>
    <t>KH0288</t>
  </si>
  <si>
    <t>2025-08-28</t>
  </si>
  <si>
    <t>KH0289</t>
  </si>
  <si>
    <t>2026-05-12</t>
  </si>
  <si>
    <t>KH0290</t>
  </si>
  <si>
    <t>2026-04-24</t>
  </si>
  <si>
    <t>KH0291</t>
  </si>
  <si>
    <t>KH0292</t>
  </si>
  <si>
    <t>KH0293</t>
  </si>
  <si>
    <t>2025-09-25</t>
  </si>
  <si>
    <t>KH0294</t>
  </si>
  <si>
    <t>2025-10-16</t>
  </si>
  <si>
    <t>KH0295</t>
  </si>
  <si>
    <t>KH0296</t>
  </si>
  <si>
    <t>KH0297</t>
  </si>
  <si>
    <t>KH0298</t>
  </si>
  <si>
    <t>2025-11-10</t>
  </si>
  <si>
    <t>KH0299</t>
  </si>
  <si>
    <t>KH0300</t>
  </si>
  <si>
    <t>2025-08-15</t>
  </si>
  <si>
    <t>sku</t>
  </si>
  <si>
    <t>ten_san_pham</t>
  </si>
  <si>
    <t>danh_muc</t>
  </si>
  <si>
    <t>gia_ban</t>
  </si>
  <si>
    <t>gia_von</t>
  </si>
  <si>
    <t>ton_kho</t>
  </si>
  <si>
    <t>trong_luong_g</t>
  </si>
  <si>
    <t>kiem_dinh_an_toan</t>
  </si>
  <si>
    <t>mo_ta_ngan</t>
  </si>
  <si>
    <t>SKU001</t>
  </si>
  <si>
    <t>Bút bi gel 0.5mm</t>
  </si>
  <si>
    <t>Hang chinh hang</t>
  </si>
  <si>
    <t xml:space="preserve"> co hoa don. Bút bi gel 0.5mm thuoc nhom Bút viết.</t>
  </si>
  <si>
    <t>SKU002</t>
  </si>
  <si>
    <t>Bút chì gỗ HB</t>
  </si>
  <si>
    <t xml:space="preserve"> co hoa don. Bút chì gỗ HB thuoc nhom Bút viết.</t>
  </si>
  <si>
    <t>SKU003</t>
  </si>
  <si>
    <t>Bút highlight 5 màu</t>
  </si>
  <si>
    <t xml:space="preserve"> co hoa don. Bút highlight 5 màu thuoc nhom Bút viết.</t>
  </si>
  <si>
    <t>SKU004</t>
  </si>
  <si>
    <t>Bút lông kim 0.4mm</t>
  </si>
  <si>
    <t xml:space="preserve"> co hoa don. Bút lông kim 0.4mm thuoc nhom Bút viết.</t>
  </si>
  <si>
    <t>SKU005</t>
  </si>
  <si>
    <t>Bút xoá nước 8ml</t>
  </si>
  <si>
    <t xml:space="preserve"> co hoa don. Bút xoá nước 8ml thuoc nhom Bút viết.</t>
  </si>
  <si>
    <t>SKU006</t>
  </si>
  <si>
    <t>Ruột bút gel 0.5mm</t>
  </si>
  <si>
    <t xml:space="preserve"> co hoa don. Ruột bút gel 0.5mm thuoc nhom Bút viết.</t>
  </si>
  <si>
    <t>SKU007</t>
  </si>
  <si>
    <t>Bút chì bấm 0.7mm</t>
  </si>
  <si>
    <t xml:space="preserve"> co hoa don. Bút chì bấm 0.7mm thuoc nhom Bút viết.</t>
  </si>
  <si>
    <t>SKU008</t>
  </si>
  <si>
    <t>Bút máy luyện chữ</t>
  </si>
  <si>
    <t xml:space="preserve"> co hoa don. Bút máy luyện chữ thuoc nhom Bút viết.</t>
  </si>
  <si>
    <t>SKU009</t>
  </si>
  <si>
    <t>Vở kẻ ngang 200 trang</t>
  </si>
  <si>
    <t xml:space="preserve"> co hoa don. Vở kẻ ngang 200 trang thuoc nhom Vở &amp; sổ.</t>
  </si>
  <si>
    <t>SKU010</t>
  </si>
  <si>
    <t>Vở ô ly lớp 1</t>
  </si>
  <si>
    <t xml:space="preserve"> co hoa don. Vở ô ly lớp 1 thuoc nhom Vở &amp; sổ.</t>
  </si>
  <si>
    <t>SKU011</t>
  </si>
  <si>
    <t>Sổ tay bìa cứng A5</t>
  </si>
  <si>
    <t xml:space="preserve"> co hoa don. Sổ tay bìa cứng A5 thuoc nhom Vở &amp; sổ.</t>
  </si>
  <si>
    <t>SKU012</t>
  </si>
  <si>
    <t>Vở vẽ A4 không dòng</t>
  </si>
  <si>
    <t xml:space="preserve"> co hoa don. Vở vẽ A4 không dòng thuoc nhom Vở &amp; sổ.</t>
  </si>
  <si>
    <t>SKU013</t>
  </si>
  <si>
    <t>Giấy kiểm tra A4 100 tờ</t>
  </si>
  <si>
    <t xml:space="preserve"> co hoa don. Giấy kiểm tra A4 100 tờ thuoc nhom Vở &amp; sổ.</t>
  </si>
  <si>
    <t>SKU014</t>
  </si>
  <si>
    <t>Sổ lò xo A5 kẻ ngang</t>
  </si>
  <si>
    <t xml:space="preserve"> co hoa don. Sổ lò xo A5 kẻ ngang thuoc nhom Vở &amp; sổ.</t>
  </si>
  <si>
    <t>SKU015</t>
  </si>
  <si>
    <t>Vở tập viết lớp 2</t>
  </si>
  <si>
    <t xml:space="preserve"> co hoa don. Vở tập viết lớp 2 thuoc nhom Vở &amp; sổ.</t>
  </si>
  <si>
    <t>SKU016</t>
  </si>
  <si>
    <t>Sổ ghi chép A6</t>
  </si>
  <si>
    <t xml:space="preserve"> co hoa don. Sổ ghi chép A6 thuoc nhom Vở &amp; sổ.</t>
  </si>
  <si>
    <t>SKU017</t>
  </si>
  <si>
    <t>Hộp bút vải 2 khoá</t>
  </si>
  <si>
    <t xml:space="preserve"> co hoa don. Hộp bút vải 2 khoá thuoc nhom Dụng cụ học tập.</t>
  </si>
  <si>
    <t>SKU018</t>
  </si>
  <si>
    <t>Thước kẻ nhựa 20cm</t>
  </si>
  <si>
    <t xml:space="preserve"> co hoa don. Thước kẻ nhựa 20cm thuoc nhom Dụng cụ học tập.</t>
  </si>
  <si>
    <t>SKU019</t>
  </si>
  <si>
    <t>Gọt bút chì có hộp</t>
  </si>
  <si>
    <t xml:space="preserve"> co hoa don. Gọt bút chì có hộp thuoc nhom Dụng cụ học tập.</t>
  </si>
  <si>
    <t>SKU020</t>
  </si>
  <si>
    <t>Bộ compa 8 chi tiết</t>
  </si>
  <si>
    <t xml:space="preserve"> co hoa don. Bộ compa 8 chi tiết thuoc nhom Dụng cụ học tập.</t>
  </si>
  <si>
    <t>SKU021</t>
  </si>
  <si>
    <t>Kéo học sinh mũi tròn</t>
  </si>
  <si>
    <t xml:space="preserve"> co hoa don. Kéo học sinh mũi tròn thuoc nhom Dụng cụ học tập.</t>
  </si>
  <si>
    <t>SKU022</t>
  </si>
  <si>
    <t>Băng keo trong 12mm</t>
  </si>
  <si>
    <t xml:space="preserve"> co hoa don. Băng keo trong 12mm thuoc nhom Dụng cụ học tập.</t>
  </si>
  <si>
    <t>SKU023</t>
  </si>
  <si>
    <t>Bảng con 2 mặt</t>
  </si>
  <si>
    <t xml:space="preserve"> co hoa don. Bảng con 2 mặt thuoc nhom Dụng cụ học tập.</t>
  </si>
  <si>
    <t>SKU024</t>
  </si>
  <si>
    <t>Ê ke bộ 2 chiếc</t>
  </si>
  <si>
    <t xml:space="preserve"> co hoa don. Ê ke bộ 2 chiếc thuoc nhom Dụng cụ học tập.</t>
  </si>
  <si>
    <t>SKU025</t>
  </si>
  <si>
    <t>Ba lô chống gù lớp 1-3</t>
  </si>
  <si>
    <t xml:space="preserve"> co hoa don. Ba lô chống gù lớp 1-3 thuoc nhom Ba lô &amp; túi.</t>
  </si>
  <si>
    <t>SKU026</t>
  </si>
  <si>
    <t>Ba lô chống gù lớp 4-5</t>
  </si>
  <si>
    <t xml:space="preserve"> co hoa don. Ba lô chống gù lớp 4-5 thuoc nhom Ba lô &amp; túi.</t>
  </si>
  <si>
    <t>SKU027</t>
  </si>
  <si>
    <t>Túi đeo chéo A4</t>
  </si>
  <si>
    <t xml:space="preserve"> co hoa don. Túi đeo chéo A4 thuoc nhom Ba lô &amp; túi.</t>
  </si>
  <si>
    <t>SKU028</t>
  </si>
  <si>
    <t>Túi đựng bình nước</t>
  </si>
  <si>
    <t xml:space="preserve"> co hoa don. Túi đựng bình nước thuoc nhom Ba lô &amp; túi.</t>
  </si>
  <si>
    <t>SKU029</t>
  </si>
  <si>
    <t>Ba lô có phản quang</t>
  </si>
  <si>
    <t xml:space="preserve"> co hoa don. Ba lô có phản quang thuoc nhom Ba lô &amp; túi.</t>
  </si>
  <si>
    <t>SKU030</t>
  </si>
  <si>
    <t>Cặp chống nước lớp 1</t>
  </si>
  <si>
    <t xml:space="preserve"> co hoa don. Cặp chống nước lớp 1 thuoc nhom Ba lô &amp; túi.</t>
  </si>
  <si>
    <t>SKU031</t>
  </si>
  <si>
    <t>Túi giữ nhiệt hộp cơm</t>
  </si>
  <si>
    <t xml:space="preserve"> co hoa don. Túi giữ nhiệt hộp cơm thuoc nhom Ba lô &amp; túi.</t>
  </si>
  <si>
    <t>SKU032</t>
  </si>
  <si>
    <t>Balo thể thao trẻ em</t>
  </si>
  <si>
    <t xml:space="preserve"> co hoa don. Balo thể thao trẻ em thuoc nhom Ba lô &amp; túi.</t>
  </si>
  <si>
    <t>SKU033</t>
  </si>
  <si>
    <t>Sáp màu 24 màu</t>
  </si>
  <si>
    <t xml:space="preserve"> co hoa don. Sáp màu 24 màu thuoc nhom Mỹ thuật.</t>
  </si>
  <si>
    <t>SKU034</t>
  </si>
  <si>
    <t>Màu nước 12 ô</t>
  </si>
  <si>
    <t xml:space="preserve"> co hoa don. Màu nước 12 ô thuoc nhom Mỹ thuật.</t>
  </si>
  <si>
    <t>SKU035</t>
  </si>
  <si>
    <t>Bút chì màu 36 màu</t>
  </si>
  <si>
    <t xml:space="preserve"> co hoa don. Bút chì màu 36 màu thuoc nhom Mỹ thuật.</t>
  </si>
  <si>
    <t>SKU036</t>
  </si>
  <si>
    <t>Đất sét nặn 12 màu</t>
  </si>
  <si>
    <t xml:space="preserve"> co hoa don. Đất sét nặn 12 màu thuoc nhom Mỹ thuật.</t>
  </si>
  <si>
    <t>SKU037</t>
  </si>
  <si>
    <t>Giấy màu thủ công</t>
  </si>
  <si>
    <t xml:space="preserve"> co hoa don. Giấy màu thủ công thuoc nhom Mỹ thuật.</t>
  </si>
  <si>
    <t>SKU038</t>
  </si>
  <si>
    <t>Cọ vẽ bộ 6 chiếc</t>
  </si>
  <si>
    <t xml:space="preserve"> co hoa don. Cọ vẽ bộ 6 chiếc thuoc nhom Mỹ thuật.</t>
  </si>
  <si>
    <t>SKU039</t>
  </si>
  <si>
    <t>Bảng pha màu nhựa</t>
  </si>
  <si>
    <t xml:space="preserve"> co hoa don. Bảng pha màu nhựa thuoc nhom Mỹ thuật.</t>
  </si>
  <si>
    <t>SKU040</t>
  </si>
  <si>
    <t>Bộ tô tượng thạch cao</t>
  </si>
  <si>
    <t xml:space="preserve"> co hoa don. Bộ tô tượng thạch cao thuoc nhom Mỹ thuật.</t>
  </si>
  <si>
    <t>Xem SP</t>
  </si>
  <si>
    <t>Doanh thu</t>
  </si>
  <si>
    <t>AOV</t>
  </si>
  <si>
    <t>ROAS</t>
  </si>
  <si>
    <t>CAC</t>
  </si>
  <si>
    <t>organic, social_organic, email</t>
  </si>
  <si>
    <t>SO SANH CAC VS LTV</t>
  </si>
  <si>
    <t>LTV</t>
  </si>
  <si>
    <t>TB doanh thu/KH</t>
  </si>
  <si>
    <t>GT cao/TS cao</t>
  </si>
  <si>
    <t>5.1 PHỄU CHUYỂN ĐỔI THEO NGUỒN LƯU LƯỢNG</t>
  </si>
  <si>
    <t>5.3 BA CHỈ SỐ KINH TẾ</t>
  </si>
  <si>
    <t>5.2 Chọn điểm can thiệp bằng số tuyệt đối</t>
  </si>
  <si>
    <t>Nguồn</t>
  </si>
  <si>
    <t>Tổng Phiên</t>
  </si>
  <si>
    <t>Thêm giỏ</t>
  </si>
  <si>
    <t>Bắt đầu TT</t>
  </si>
  <si>
    <t>Đơn hoàn tất</t>
  </si>
  <si>
    <t>Tỷ lệ xem SP</t>
  </si>
  <si>
    <t>Tỷ lệ thêm giỏ</t>
  </si>
  <si>
    <t>Tỷ lệ bắt đầu TT</t>
  </si>
  <si>
    <t>Tỷ lệ hoàn tất TT</t>
  </si>
  <si>
    <t>CR toàn phễu</t>
  </si>
  <si>
    <t>TỔNG CỘNG</t>
  </si>
  <si>
    <t>Bước phễu</t>
  </si>
  <si>
    <t>Số nguồn thực tế</t>
  </si>
  <si>
    <t>Tỷ lệ hiện tại</t>
  </si>
  <si>
    <t>Giải pháp</t>
  </si>
  <si>
    <t>Delta tỷ lệ</t>
  </si>
  <si>
    <t>Số đơn tăng thêm</t>
  </si>
  <si>
    <t>Chi phí dự kiến</t>
  </si>
  <si>
    <t>Lợi nhuận ròng</t>
  </si>
  <si>
    <r>
      <t xml:space="preserve">Phiên </t>
    </r>
    <r>
      <rPr>
        <sz val="11"/>
        <color theme="1"/>
        <rFont val="Arial"/>
        <family val="2"/>
      </rPr>
      <t>-&gt;</t>
    </r>
    <r>
      <rPr>
        <sz val="11"/>
        <color theme="1"/>
        <rFont val="Calibri"/>
        <family val="2"/>
        <scheme val="minor"/>
      </rPr>
      <t xml:space="preserve"> Xem SP</t>
    </r>
  </si>
  <si>
    <t>Xem SP-&gt;Thêm giỏ</t>
  </si>
  <si>
    <t>Thêm giỏ -&gt; Bắt đầu TT</t>
  </si>
  <si>
    <t>Bắt đầu TT -&gt; Đơn hoàn tất</t>
  </si>
  <si>
    <t>Tối ưu hình ảnh SP, mô tả hấp dẫn</t>
  </si>
  <si>
    <t>Gợi ý sản phẩm liên quan, ưu đãi thêm giỏ hàng</t>
  </si>
  <si>
    <t>Đơn giản hóa quy trình thanh toán</t>
  </si>
  <si>
    <t>Email nhắc nhở hoàn tất, giảm giá vận chuyển</t>
  </si>
  <si>
    <t>a) ROAS THEO CHIẾN DỊCH</t>
  </si>
  <si>
    <t>Chiến dịch</t>
  </si>
  <si>
    <t>Kênh</t>
  </si>
  <si>
    <t>Chi phí (ad_spend)</t>
  </si>
  <si>
    <t>Doanh thu quy kết</t>
  </si>
  <si>
    <t>Đánh giá</t>
  </si>
  <si>
    <t>b) CAC THEO KÊNH</t>
  </si>
  <si>
    <t>Tổng chi phí</t>
  </si>
  <si>
    <t>Tổng chuyển đổi</t>
  </si>
  <si>
    <t>Ghi chú</t>
  </si>
  <si>
    <t>Không phát sinh chi phí trực tiếp trong ad_spend</t>
  </si>
  <si>
    <t>c) GIÁ TRỊ VÒNG ĐỜI (LTV)</t>
  </si>
  <si>
    <t>AOV (Gía trị đơn TB)</t>
  </si>
  <si>
    <t>Số đơn/năm (TB môĩ  KH)</t>
  </si>
  <si>
    <t>Số năm gắn bó (giả định)</t>
  </si>
  <si>
    <t>Tỷ lệ LN gộp (weighted by doanh thu)</t>
  </si>
  <si>
    <t xml:space="preserve">LTV = AOV × Số đơn/năm × Số năm × Tỷ lệ LN </t>
  </si>
  <si>
    <t>Chênh lệch (LTV - CAC)</t>
  </si>
  <si>
    <t>Kết luận</t>
  </si>
  <si>
    <t>5.4 MA TRẬN GIÁ TRỊ VÀ TẦN SUẤT</t>
  </si>
  <si>
    <t>Ngưỡng giá trị (Median doanh thu)</t>
  </si>
  <si>
    <t>Ngưỡng tần suất (Median so don)</t>
  </si>
  <si>
    <t>Nhóm KH</t>
  </si>
  <si>
    <t>Số lượng</t>
  </si>
  <si>
    <t>Tổng doanh thu</t>
  </si>
  <si>
    <t>Hành động CSKH</t>
  </si>
  <si>
    <t>GT cao/TS thấp</t>
  </si>
  <si>
    <t>GT thấp/TS thấp</t>
  </si>
  <si>
    <t>GT thấp/TS cao</t>
  </si>
  <si>
    <t>Chương trình VIP, ưu đãi độc quyền, giới thiệu bạn bè</t>
  </si>
  <si>
    <t>Email marketing, push notification, ưu đãi quay lại</t>
  </si>
  <si>
    <t>Cross-sell, up-sell, gói combo hấp dẫn</t>
  </si>
  <si>
    <t>Chạy quảng cáo tiếp thị lại, email chào mừng</t>
  </si>
  <si>
    <t>Giả định: 1.5 năm dựa trên tỷ lệ KH mua lại &gt;1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</si>
</sst>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2"/>
      <color rgb="FFFF0000"/>
      <name val="Calibri"/>
    </font>
    <font>
      <sz val="11"/>
      <color theme="1"/>
      <name val="Arial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/>
    <xf numFmtId="10" fontId="0" fillId="0" borderId="1" xfId="0" applyNumberFormat="1" applyBorder="1"/>
    <xf numFmtId="3" fontId="0" fillId="0" borderId="1" xfId="0" applyNumberFormat="1" applyBorder="1"/>
    <xf numFmtId="0" fontId="4" fillId="0" borderId="0" xfId="0" applyFont="1"/>
    <xf numFmtId="2" fontId="0" fillId="0" borderId="1" xfId="0" applyNumberFormat="1" applyBorder="1"/>
    <xf numFmtId="3" fontId="0" fillId="0" borderId="0" xfId="0" applyNumberFormat="1"/>
    <xf numFmtId="2" fontId="0" fillId="0" borderId="0" xfId="0" applyNumberFormat="1"/>
    <xf numFmtId="10" fontId="0" fillId="0" borderId="0" xfId="0" applyNumberFormat="1"/>
    <xf numFmtId="3" fontId="5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1" fillId="0" borderId="0" xfId="0" applyFont="1"/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center" wrapText="1"/>
    </xf>
    <xf numFmtId="0" fontId="9" fillId="0" borderId="1" xfId="0" applyFont="1" applyBorder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228</v>
      </c>
      <c r="D2">
        <v>96</v>
      </c>
      <c r="E2">
        <v>29</v>
      </c>
      <c r="F2">
        <v>18</v>
      </c>
      <c r="G2">
        <v>9</v>
      </c>
      <c r="H2">
        <v>3645000</v>
      </c>
    </row>
    <row r="3" spans="1:8" x14ac:dyDescent="0.3">
      <c r="A3" t="s">
        <v>8</v>
      </c>
      <c r="B3" t="s">
        <v>10</v>
      </c>
      <c r="C3">
        <v>148</v>
      </c>
      <c r="D3">
        <v>68</v>
      </c>
      <c r="E3">
        <v>18</v>
      </c>
      <c r="F3">
        <v>12</v>
      </c>
      <c r="G3">
        <v>5</v>
      </c>
      <c r="H3">
        <v>1810000</v>
      </c>
    </row>
    <row r="4" spans="1:8" x14ac:dyDescent="0.3">
      <c r="A4" t="s">
        <v>8</v>
      </c>
      <c r="B4" t="s">
        <v>11</v>
      </c>
      <c r="C4">
        <v>242</v>
      </c>
      <c r="D4">
        <v>67</v>
      </c>
      <c r="E4">
        <v>18</v>
      </c>
      <c r="F4">
        <v>10</v>
      </c>
      <c r="G4">
        <v>4</v>
      </c>
      <c r="H4">
        <v>1616000</v>
      </c>
    </row>
    <row r="5" spans="1:8" x14ac:dyDescent="0.3">
      <c r="A5" t="s">
        <v>8</v>
      </c>
      <c r="B5" t="s">
        <v>12</v>
      </c>
      <c r="C5">
        <v>75</v>
      </c>
      <c r="D5">
        <v>35</v>
      </c>
      <c r="E5">
        <v>11</v>
      </c>
      <c r="F5">
        <v>7</v>
      </c>
      <c r="G5">
        <v>1</v>
      </c>
      <c r="H5">
        <v>417000</v>
      </c>
    </row>
    <row r="6" spans="1:8" x14ac:dyDescent="0.3">
      <c r="A6" t="s">
        <v>8</v>
      </c>
      <c r="B6" t="s">
        <v>13</v>
      </c>
      <c r="C6">
        <v>57</v>
      </c>
      <c r="D6">
        <v>39</v>
      </c>
      <c r="E6">
        <v>12</v>
      </c>
      <c r="F6">
        <v>7</v>
      </c>
      <c r="G6">
        <v>3</v>
      </c>
      <c r="H6">
        <v>1272000</v>
      </c>
    </row>
    <row r="7" spans="1:8" x14ac:dyDescent="0.3">
      <c r="A7" t="s">
        <v>14</v>
      </c>
      <c r="B7" t="s">
        <v>9</v>
      </c>
      <c r="C7">
        <v>193</v>
      </c>
      <c r="D7">
        <v>78</v>
      </c>
      <c r="E7">
        <v>24</v>
      </c>
      <c r="F7">
        <v>15</v>
      </c>
      <c r="G7">
        <v>7</v>
      </c>
      <c r="H7">
        <v>2492000</v>
      </c>
    </row>
    <row r="8" spans="1:8" x14ac:dyDescent="0.3">
      <c r="A8" t="s">
        <v>14</v>
      </c>
      <c r="B8" t="s">
        <v>10</v>
      </c>
      <c r="C8">
        <v>206</v>
      </c>
      <c r="D8">
        <v>98</v>
      </c>
      <c r="E8">
        <v>31</v>
      </c>
      <c r="F8">
        <v>19</v>
      </c>
      <c r="G8">
        <v>7</v>
      </c>
      <c r="H8">
        <v>2877000</v>
      </c>
    </row>
    <row r="9" spans="1:8" x14ac:dyDescent="0.3">
      <c r="A9" t="s">
        <v>14</v>
      </c>
      <c r="B9" t="s">
        <v>11</v>
      </c>
      <c r="C9">
        <v>253</v>
      </c>
      <c r="D9">
        <v>67</v>
      </c>
      <c r="E9">
        <v>21</v>
      </c>
      <c r="F9">
        <v>13</v>
      </c>
      <c r="G9">
        <v>4</v>
      </c>
      <c r="H9">
        <v>1416000</v>
      </c>
    </row>
    <row r="10" spans="1:8" x14ac:dyDescent="0.3">
      <c r="A10" t="s">
        <v>14</v>
      </c>
      <c r="B10" t="s">
        <v>12</v>
      </c>
      <c r="C10">
        <v>97</v>
      </c>
      <c r="D10">
        <v>39</v>
      </c>
      <c r="E10">
        <v>11</v>
      </c>
      <c r="F10">
        <v>6</v>
      </c>
      <c r="G10">
        <v>1</v>
      </c>
      <c r="H10">
        <v>324000</v>
      </c>
    </row>
    <row r="11" spans="1:8" x14ac:dyDescent="0.3">
      <c r="A11" t="s">
        <v>14</v>
      </c>
      <c r="B11" t="s">
        <v>13</v>
      </c>
      <c r="C11">
        <v>82</v>
      </c>
      <c r="D11">
        <v>53</v>
      </c>
      <c r="E11">
        <v>17</v>
      </c>
      <c r="F11">
        <v>11</v>
      </c>
      <c r="G11">
        <v>5</v>
      </c>
      <c r="H11">
        <v>2270000</v>
      </c>
    </row>
    <row r="12" spans="1:8" x14ac:dyDescent="0.3">
      <c r="A12" t="s">
        <v>15</v>
      </c>
      <c r="B12" t="s">
        <v>9</v>
      </c>
      <c r="C12">
        <v>230</v>
      </c>
      <c r="D12">
        <v>100</v>
      </c>
      <c r="E12">
        <v>30</v>
      </c>
      <c r="F12">
        <v>18</v>
      </c>
      <c r="G12">
        <v>8</v>
      </c>
      <c r="H12">
        <v>4368000</v>
      </c>
    </row>
    <row r="13" spans="1:8" x14ac:dyDescent="0.3">
      <c r="A13" t="s">
        <v>15</v>
      </c>
      <c r="B13" t="s">
        <v>10</v>
      </c>
      <c r="C13">
        <v>218</v>
      </c>
      <c r="D13">
        <v>89</v>
      </c>
      <c r="E13">
        <v>30</v>
      </c>
      <c r="F13">
        <v>19</v>
      </c>
      <c r="G13">
        <v>6</v>
      </c>
      <c r="H13">
        <v>2892000</v>
      </c>
    </row>
    <row r="14" spans="1:8" x14ac:dyDescent="0.3">
      <c r="A14" t="s">
        <v>15</v>
      </c>
      <c r="B14" t="s">
        <v>11</v>
      </c>
      <c r="C14">
        <v>253</v>
      </c>
      <c r="D14">
        <v>73</v>
      </c>
      <c r="E14">
        <v>21</v>
      </c>
      <c r="F14">
        <v>12</v>
      </c>
      <c r="G14">
        <v>4</v>
      </c>
      <c r="H14">
        <v>1496000</v>
      </c>
    </row>
    <row r="15" spans="1:8" x14ac:dyDescent="0.3">
      <c r="A15" t="s">
        <v>15</v>
      </c>
      <c r="B15" t="s">
        <v>12</v>
      </c>
      <c r="C15">
        <v>77</v>
      </c>
      <c r="D15">
        <v>31</v>
      </c>
      <c r="E15">
        <v>9</v>
      </c>
      <c r="F15">
        <v>5</v>
      </c>
      <c r="G15">
        <v>1</v>
      </c>
      <c r="H15">
        <v>502000</v>
      </c>
    </row>
    <row r="16" spans="1:8" x14ac:dyDescent="0.3">
      <c r="A16" t="s">
        <v>15</v>
      </c>
      <c r="B16" t="s">
        <v>13</v>
      </c>
      <c r="C16">
        <v>72</v>
      </c>
      <c r="D16">
        <v>45</v>
      </c>
      <c r="E16">
        <v>15</v>
      </c>
      <c r="F16">
        <v>10</v>
      </c>
      <c r="G16">
        <v>3</v>
      </c>
      <c r="H16">
        <v>1131000</v>
      </c>
    </row>
    <row r="17" spans="1:8" x14ac:dyDescent="0.3">
      <c r="A17" t="s">
        <v>16</v>
      </c>
      <c r="B17" t="s">
        <v>9</v>
      </c>
      <c r="C17">
        <v>257</v>
      </c>
      <c r="D17">
        <v>114</v>
      </c>
      <c r="E17">
        <v>35</v>
      </c>
      <c r="F17">
        <v>21</v>
      </c>
      <c r="G17">
        <v>11</v>
      </c>
      <c r="H17">
        <v>5819000</v>
      </c>
    </row>
    <row r="18" spans="1:8" x14ac:dyDescent="0.3">
      <c r="A18" t="s">
        <v>16</v>
      </c>
      <c r="B18" t="s">
        <v>10</v>
      </c>
      <c r="C18">
        <v>207</v>
      </c>
      <c r="D18">
        <v>99</v>
      </c>
      <c r="E18">
        <v>31</v>
      </c>
      <c r="F18">
        <v>18</v>
      </c>
      <c r="G18">
        <v>6</v>
      </c>
      <c r="H18">
        <v>3126000</v>
      </c>
    </row>
    <row r="19" spans="1:8" x14ac:dyDescent="0.3">
      <c r="A19" t="s">
        <v>16</v>
      </c>
      <c r="B19" t="s">
        <v>11</v>
      </c>
      <c r="C19">
        <v>294</v>
      </c>
      <c r="D19">
        <v>85</v>
      </c>
      <c r="E19">
        <v>24</v>
      </c>
      <c r="F19">
        <v>14</v>
      </c>
      <c r="G19">
        <v>4</v>
      </c>
      <c r="H19">
        <v>1336000</v>
      </c>
    </row>
    <row r="20" spans="1:8" x14ac:dyDescent="0.3">
      <c r="A20" t="s">
        <v>16</v>
      </c>
      <c r="B20" t="s">
        <v>12</v>
      </c>
      <c r="C20">
        <v>77</v>
      </c>
      <c r="D20">
        <v>31</v>
      </c>
      <c r="E20">
        <v>9</v>
      </c>
      <c r="F20">
        <v>5</v>
      </c>
      <c r="G20">
        <v>1</v>
      </c>
      <c r="H20">
        <v>449000</v>
      </c>
    </row>
    <row r="21" spans="1:8" x14ac:dyDescent="0.3">
      <c r="A21" t="s">
        <v>16</v>
      </c>
      <c r="B21" t="s">
        <v>13</v>
      </c>
      <c r="C21">
        <v>80</v>
      </c>
      <c r="D21">
        <v>54</v>
      </c>
      <c r="E21">
        <v>15</v>
      </c>
      <c r="F21">
        <v>9</v>
      </c>
      <c r="G21">
        <v>4</v>
      </c>
      <c r="H21">
        <v>2028000</v>
      </c>
    </row>
    <row r="22" spans="1:8" x14ac:dyDescent="0.3">
      <c r="A22" t="s">
        <v>17</v>
      </c>
      <c r="B22" t="s">
        <v>9</v>
      </c>
      <c r="C22">
        <v>180</v>
      </c>
      <c r="D22">
        <v>79</v>
      </c>
      <c r="E22">
        <v>25</v>
      </c>
      <c r="F22">
        <v>14</v>
      </c>
      <c r="G22">
        <v>7</v>
      </c>
      <c r="H22">
        <v>2737000</v>
      </c>
    </row>
    <row r="23" spans="1:8" x14ac:dyDescent="0.3">
      <c r="A23" t="s">
        <v>17</v>
      </c>
      <c r="B23" t="s">
        <v>10</v>
      </c>
      <c r="C23">
        <v>207</v>
      </c>
      <c r="D23">
        <v>99</v>
      </c>
      <c r="E23">
        <v>30</v>
      </c>
      <c r="F23">
        <v>19</v>
      </c>
      <c r="G23">
        <v>7</v>
      </c>
      <c r="H23">
        <v>3024000</v>
      </c>
    </row>
    <row r="24" spans="1:8" x14ac:dyDescent="0.3">
      <c r="A24" t="s">
        <v>17</v>
      </c>
      <c r="B24" t="s">
        <v>11</v>
      </c>
      <c r="C24">
        <v>284</v>
      </c>
      <c r="D24">
        <v>85</v>
      </c>
      <c r="E24">
        <v>23</v>
      </c>
      <c r="F24">
        <v>14</v>
      </c>
      <c r="G24">
        <v>4</v>
      </c>
      <c r="H24">
        <v>2220000</v>
      </c>
    </row>
    <row r="25" spans="1:8" x14ac:dyDescent="0.3">
      <c r="A25" t="s">
        <v>17</v>
      </c>
      <c r="B25" t="s">
        <v>12</v>
      </c>
      <c r="C25">
        <v>77</v>
      </c>
      <c r="D25">
        <v>33</v>
      </c>
      <c r="E25">
        <v>10</v>
      </c>
      <c r="F25">
        <v>6</v>
      </c>
      <c r="G25">
        <v>1</v>
      </c>
      <c r="H25">
        <v>386000</v>
      </c>
    </row>
    <row r="26" spans="1:8" x14ac:dyDescent="0.3">
      <c r="A26" t="s">
        <v>17</v>
      </c>
      <c r="B26" t="s">
        <v>13</v>
      </c>
      <c r="C26">
        <v>79</v>
      </c>
      <c r="D26">
        <v>48</v>
      </c>
      <c r="E26">
        <v>14</v>
      </c>
      <c r="F26">
        <v>9</v>
      </c>
      <c r="G26">
        <v>4</v>
      </c>
      <c r="H26">
        <v>2044000</v>
      </c>
    </row>
    <row r="27" spans="1:8" x14ac:dyDescent="0.3">
      <c r="A27" t="s">
        <v>18</v>
      </c>
      <c r="B27" t="s">
        <v>9</v>
      </c>
      <c r="C27">
        <v>235</v>
      </c>
      <c r="D27">
        <v>96</v>
      </c>
      <c r="E27">
        <v>26</v>
      </c>
      <c r="F27">
        <v>16</v>
      </c>
      <c r="G27">
        <v>8</v>
      </c>
      <c r="H27">
        <v>4376000</v>
      </c>
    </row>
    <row r="28" spans="1:8" x14ac:dyDescent="0.3">
      <c r="A28" t="s">
        <v>18</v>
      </c>
      <c r="B28" t="s">
        <v>10</v>
      </c>
      <c r="C28">
        <v>231</v>
      </c>
      <c r="D28">
        <v>101</v>
      </c>
      <c r="E28">
        <v>30</v>
      </c>
      <c r="F28">
        <v>19</v>
      </c>
      <c r="G28">
        <v>7</v>
      </c>
      <c r="H28">
        <v>3633000</v>
      </c>
    </row>
    <row r="29" spans="1:8" x14ac:dyDescent="0.3">
      <c r="A29" t="s">
        <v>18</v>
      </c>
      <c r="B29" t="s">
        <v>11</v>
      </c>
      <c r="C29">
        <v>331</v>
      </c>
      <c r="D29">
        <v>101</v>
      </c>
      <c r="E29">
        <v>31</v>
      </c>
      <c r="F29">
        <v>20</v>
      </c>
      <c r="G29">
        <v>5</v>
      </c>
      <c r="H29">
        <v>2740000</v>
      </c>
    </row>
    <row r="30" spans="1:8" x14ac:dyDescent="0.3">
      <c r="A30" t="s">
        <v>18</v>
      </c>
      <c r="B30" t="s">
        <v>12</v>
      </c>
      <c r="C30">
        <v>118</v>
      </c>
      <c r="D30">
        <v>56</v>
      </c>
      <c r="E30">
        <v>15</v>
      </c>
      <c r="F30">
        <v>9</v>
      </c>
      <c r="G30">
        <v>1</v>
      </c>
      <c r="H30">
        <v>342000</v>
      </c>
    </row>
    <row r="31" spans="1:8" x14ac:dyDescent="0.3">
      <c r="A31" t="s">
        <v>18</v>
      </c>
      <c r="B31" t="s">
        <v>13</v>
      </c>
      <c r="C31">
        <v>98</v>
      </c>
      <c r="D31">
        <v>59</v>
      </c>
      <c r="E31">
        <v>17</v>
      </c>
      <c r="F31">
        <v>10</v>
      </c>
      <c r="G31">
        <v>6</v>
      </c>
      <c r="H31">
        <v>2508000</v>
      </c>
    </row>
    <row r="32" spans="1:8" x14ac:dyDescent="0.3">
      <c r="A32" t="s">
        <v>19</v>
      </c>
      <c r="B32" t="s">
        <v>9</v>
      </c>
      <c r="C32">
        <v>240</v>
      </c>
      <c r="D32">
        <v>115</v>
      </c>
      <c r="E32">
        <v>35</v>
      </c>
      <c r="F32">
        <v>20</v>
      </c>
      <c r="G32">
        <v>9</v>
      </c>
      <c r="H32">
        <v>3564000</v>
      </c>
    </row>
    <row r="33" spans="1:8" x14ac:dyDescent="0.3">
      <c r="A33" t="s">
        <v>19</v>
      </c>
      <c r="B33" t="s">
        <v>10</v>
      </c>
      <c r="C33">
        <v>259</v>
      </c>
      <c r="D33">
        <v>122</v>
      </c>
      <c r="E33">
        <v>36</v>
      </c>
      <c r="F33">
        <v>23</v>
      </c>
      <c r="G33">
        <v>8</v>
      </c>
      <c r="H33">
        <v>2624000</v>
      </c>
    </row>
    <row r="34" spans="1:8" x14ac:dyDescent="0.3">
      <c r="A34" t="s">
        <v>19</v>
      </c>
      <c r="B34" t="s">
        <v>11</v>
      </c>
      <c r="C34">
        <v>338</v>
      </c>
      <c r="D34">
        <v>95</v>
      </c>
      <c r="E34">
        <v>27</v>
      </c>
      <c r="F34">
        <v>15</v>
      </c>
      <c r="G34">
        <v>5</v>
      </c>
      <c r="H34">
        <v>2265000</v>
      </c>
    </row>
    <row r="35" spans="1:8" x14ac:dyDescent="0.3">
      <c r="A35" t="s">
        <v>19</v>
      </c>
      <c r="B35" t="s">
        <v>12</v>
      </c>
      <c r="C35">
        <v>119</v>
      </c>
      <c r="D35">
        <v>55</v>
      </c>
      <c r="E35">
        <v>16</v>
      </c>
      <c r="F35">
        <v>10</v>
      </c>
      <c r="G35">
        <v>1</v>
      </c>
      <c r="H35">
        <v>445000</v>
      </c>
    </row>
    <row r="36" spans="1:8" x14ac:dyDescent="0.3">
      <c r="A36" t="s">
        <v>19</v>
      </c>
      <c r="B36" t="s">
        <v>13</v>
      </c>
      <c r="C36">
        <v>108</v>
      </c>
      <c r="D36">
        <v>74</v>
      </c>
      <c r="E36">
        <v>22</v>
      </c>
      <c r="F36">
        <v>13</v>
      </c>
      <c r="G36">
        <v>5</v>
      </c>
      <c r="H36">
        <v>2490000</v>
      </c>
    </row>
    <row r="37" spans="1:8" x14ac:dyDescent="0.3">
      <c r="A37" t="s">
        <v>20</v>
      </c>
      <c r="B37" t="s">
        <v>9</v>
      </c>
      <c r="C37">
        <v>243</v>
      </c>
      <c r="D37">
        <v>117</v>
      </c>
      <c r="E37">
        <v>37</v>
      </c>
      <c r="F37">
        <v>22</v>
      </c>
      <c r="G37">
        <v>8</v>
      </c>
      <c r="H37">
        <v>3136000</v>
      </c>
    </row>
    <row r="38" spans="1:8" x14ac:dyDescent="0.3">
      <c r="A38" t="s">
        <v>20</v>
      </c>
      <c r="B38" t="s">
        <v>10</v>
      </c>
      <c r="C38">
        <v>206</v>
      </c>
      <c r="D38">
        <v>92</v>
      </c>
      <c r="E38">
        <v>31</v>
      </c>
      <c r="F38">
        <v>18</v>
      </c>
      <c r="G38">
        <v>6</v>
      </c>
      <c r="H38">
        <v>2010000</v>
      </c>
    </row>
    <row r="39" spans="1:8" x14ac:dyDescent="0.3">
      <c r="A39" t="s">
        <v>20</v>
      </c>
      <c r="B39" t="s">
        <v>11</v>
      </c>
      <c r="C39">
        <v>242</v>
      </c>
      <c r="D39">
        <v>73</v>
      </c>
      <c r="E39">
        <v>21</v>
      </c>
      <c r="F39">
        <v>14</v>
      </c>
      <c r="G39">
        <v>3</v>
      </c>
      <c r="H39">
        <v>1461000</v>
      </c>
    </row>
    <row r="40" spans="1:8" x14ac:dyDescent="0.3">
      <c r="A40" t="s">
        <v>20</v>
      </c>
      <c r="B40" t="s">
        <v>12</v>
      </c>
      <c r="C40">
        <v>112</v>
      </c>
      <c r="D40">
        <v>47</v>
      </c>
      <c r="E40">
        <v>14</v>
      </c>
      <c r="F40">
        <v>8</v>
      </c>
      <c r="G40">
        <v>1</v>
      </c>
      <c r="H40">
        <v>501000</v>
      </c>
    </row>
    <row r="41" spans="1:8" x14ac:dyDescent="0.3">
      <c r="A41" t="s">
        <v>20</v>
      </c>
      <c r="B41" t="s">
        <v>13</v>
      </c>
      <c r="C41">
        <v>79</v>
      </c>
      <c r="D41">
        <v>50</v>
      </c>
      <c r="E41">
        <v>16</v>
      </c>
      <c r="F41">
        <v>10</v>
      </c>
      <c r="G41">
        <v>4</v>
      </c>
      <c r="H41">
        <v>1604000</v>
      </c>
    </row>
    <row r="42" spans="1:8" x14ac:dyDescent="0.3">
      <c r="A42" t="s">
        <v>21</v>
      </c>
      <c r="B42" t="s">
        <v>9</v>
      </c>
      <c r="C42">
        <v>187</v>
      </c>
      <c r="D42">
        <v>88</v>
      </c>
      <c r="E42">
        <v>29</v>
      </c>
      <c r="F42">
        <v>19</v>
      </c>
      <c r="G42">
        <v>8</v>
      </c>
      <c r="H42">
        <v>2928000</v>
      </c>
    </row>
    <row r="43" spans="1:8" x14ac:dyDescent="0.3">
      <c r="A43" t="s">
        <v>21</v>
      </c>
      <c r="B43" t="s">
        <v>10</v>
      </c>
      <c r="C43">
        <v>210</v>
      </c>
      <c r="D43">
        <v>100</v>
      </c>
      <c r="E43">
        <v>27</v>
      </c>
      <c r="F43">
        <v>17</v>
      </c>
      <c r="G43">
        <v>6</v>
      </c>
      <c r="H43">
        <v>3252000</v>
      </c>
    </row>
    <row r="44" spans="1:8" x14ac:dyDescent="0.3">
      <c r="A44" t="s">
        <v>21</v>
      </c>
      <c r="B44" t="s">
        <v>11</v>
      </c>
      <c r="C44">
        <v>235</v>
      </c>
      <c r="D44">
        <v>69</v>
      </c>
      <c r="E44">
        <v>22</v>
      </c>
      <c r="F44">
        <v>13</v>
      </c>
      <c r="G44">
        <v>3</v>
      </c>
      <c r="H44">
        <v>1695000</v>
      </c>
    </row>
    <row r="45" spans="1:8" x14ac:dyDescent="0.3">
      <c r="A45" t="s">
        <v>21</v>
      </c>
      <c r="B45" t="s">
        <v>12</v>
      </c>
      <c r="C45">
        <v>99</v>
      </c>
      <c r="D45">
        <v>46</v>
      </c>
      <c r="E45">
        <v>13</v>
      </c>
      <c r="F45">
        <v>8</v>
      </c>
      <c r="G45">
        <v>1</v>
      </c>
      <c r="H45">
        <v>492000</v>
      </c>
    </row>
    <row r="46" spans="1:8" x14ac:dyDescent="0.3">
      <c r="A46" t="s">
        <v>21</v>
      </c>
      <c r="B46" t="s">
        <v>13</v>
      </c>
      <c r="C46">
        <v>61</v>
      </c>
      <c r="D46">
        <v>36</v>
      </c>
      <c r="E46">
        <v>11</v>
      </c>
      <c r="F46">
        <v>7</v>
      </c>
      <c r="G46">
        <v>3</v>
      </c>
      <c r="H46">
        <v>1050000</v>
      </c>
    </row>
    <row r="47" spans="1:8" x14ac:dyDescent="0.3">
      <c r="A47" t="s">
        <v>22</v>
      </c>
      <c r="B47" t="s">
        <v>9</v>
      </c>
      <c r="C47">
        <v>198</v>
      </c>
      <c r="D47">
        <v>89</v>
      </c>
      <c r="E47">
        <v>24</v>
      </c>
      <c r="F47">
        <v>14</v>
      </c>
      <c r="G47">
        <v>6</v>
      </c>
      <c r="H47">
        <v>2850000</v>
      </c>
    </row>
    <row r="48" spans="1:8" x14ac:dyDescent="0.3">
      <c r="A48" t="s">
        <v>22</v>
      </c>
      <c r="B48" t="s">
        <v>10</v>
      </c>
      <c r="C48">
        <v>208</v>
      </c>
      <c r="D48">
        <v>95</v>
      </c>
      <c r="E48">
        <v>30</v>
      </c>
      <c r="F48">
        <v>18</v>
      </c>
      <c r="G48">
        <v>7</v>
      </c>
      <c r="H48">
        <v>3829000</v>
      </c>
    </row>
    <row r="49" spans="1:8" x14ac:dyDescent="0.3">
      <c r="A49" t="s">
        <v>22</v>
      </c>
      <c r="B49" t="s">
        <v>11</v>
      </c>
      <c r="C49">
        <v>319</v>
      </c>
      <c r="D49">
        <v>94</v>
      </c>
      <c r="E49">
        <v>29</v>
      </c>
      <c r="F49">
        <v>18</v>
      </c>
      <c r="G49">
        <v>5</v>
      </c>
      <c r="H49">
        <v>2235000</v>
      </c>
    </row>
    <row r="50" spans="1:8" x14ac:dyDescent="0.3">
      <c r="A50" t="s">
        <v>22</v>
      </c>
      <c r="B50" t="s">
        <v>12</v>
      </c>
      <c r="C50">
        <v>83</v>
      </c>
      <c r="D50">
        <v>35</v>
      </c>
      <c r="E50">
        <v>12</v>
      </c>
      <c r="F50">
        <v>7</v>
      </c>
      <c r="G50">
        <v>1</v>
      </c>
      <c r="H50">
        <v>575000</v>
      </c>
    </row>
    <row r="51" spans="1:8" x14ac:dyDescent="0.3">
      <c r="A51" t="s">
        <v>22</v>
      </c>
      <c r="B51" t="s">
        <v>13</v>
      </c>
      <c r="C51">
        <v>87</v>
      </c>
      <c r="D51">
        <v>53</v>
      </c>
      <c r="E51">
        <v>15</v>
      </c>
      <c r="F51">
        <v>9</v>
      </c>
      <c r="G51">
        <v>4</v>
      </c>
      <c r="H51">
        <v>1680000</v>
      </c>
    </row>
    <row r="52" spans="1:8" x14ac:dyDescent="0.3">
      <c r="A52" t="s">
        <v>23</v>
      </c>
      <c r="B52" t="s">
        <v>9</v>
      </c>
      <c r="C52">
        <v>273</v>
      </c>
      <c r="D52">
        <v>116</v>
      </c>
      <c r="E52">
        <v>32</v>
      </c>
      <c r="F52">
        <v>18</v>
      </c>
      <c r="G52">
        <v>10</v>
      </c>
      <c r="H52">
        <v>4380000</v>
      </c>
    </row>
    <row r="53" spans="1:8" x14ac:dyDescent="0.3">
      <c r="A53" t="s">
        <v>23</v>
      </c>
      <c r="B53" t="s">
        <v>10</v>
      </c>
      <c r="C53">
        <v>210</v>
      </c>
      <c r="D53">
        <v>93</v>
      </c>
      <c r="E53">
        <v>26</v>
      </c>
      <c r="F53">
        <v>17</v>
      </c>
      <c r="G53">
        <v>7</v>
      </c>
      <c r="H53">
        <v>2723000</v>
      </c>
    </row>
    <row r="54" spans="1:8" x14ac:dyDescent="0.3">
      <c r="A54" t="s">
        <v>23</v>
      </c>
      <c r="B54" t="s">
        <v>11</v>
      </c>
      <c r="C54">
        <v>253</v>
      </c>
      <c r="D54">
        <v>74</v>
      </c>
      <c r="E54">
        <v>23</v>
      </c>
      <c r="F54">
        <v>13</v>
      </c>
      <c r="G54">
        <v>4</v>
      </c>
      <c r="H54">
        <v>2084000</v>
      </c>
    </row>
    <row r="55" spans="1:8" x14ac:dyDescent="0.3">
      <c r="A55" t="s">
        <v>23</v>
      </c>
      <c r="B55" t="s">
        <v>12</v>
      </c>
      <c r="C55">
        <v>84</v>
      </c>
      <c r="D55">
        <v>34</v>
      </c>
      <c r="E55">
        <v>11</v>
      </c>
      <c r="F55">
        <v>7</v>
      </c>
      <c r="G55">
        <v>1</v>
      </c>
      <c r="H55">
        <v>399000</v>
      </c>
    </row>
    <row r="56" spans="1:8" x14ac:dyDescent="0.3">
      <c r="A56" t="s">
        <v>23</v>
      </c>
      <c r="B56" t="s">
        <v>13</v>
      </c>
      <c r="C56">
        <v>62</v>
      </c>
      <c r="D56">
        <v>41</v>
      </c>
      <c r="E56">
        <v>14</v>
      </c>
      <c r="F56">
        <v>8</v>
      </c>
      <c r="G56">
        <v>3</v>
      </c>
      <c r="H56">
        <v>1635000</v>
      </c>
    </row>
    <row r="57" spans="1:8" x14ac:dyDescent="0.3">
      <c r="A57" t="s">
        <v>24</v>
      </c>
      <c r="B57" t="s">
        <v>9</v>
      </c>
      <c r="C57">
        <v>260</v>
      </c>
      <c r="D57">
        <v>120</v>
      </c>
      <c r="E57">
        <v>32</v>
      </c>
      <c r="F57">
        <v>20</v>
      </c>
      <c r="G57">
        <v>8</v>
      </c>
      <c r="H57">
        <v>2840000</v>
      </c>
    </row>
    <row r="58" spans="1:8" x14ac:dyDescent="0.3">
      <c r="A58" t="s">
        <v>24</v>
      </c>
      <c r="B58" t="s">
        <v>10</v>
      </c>
      <c r="C58">
        <v>227</v>
      </c>
      <c r="D58">
        <v>108</v>
      </c>
      <c r="E58">
        <v>31</v>
      </c>
      <c r="F58">
        <v>18</v>
      </c>
      <c r="G58">
        <v>7</v>
      </c>
      <c r="H58">
        <v>2730000</v>
      </c>
    </row>
    <row r="59" spans="1:8" x14ac:dyDescent="0.3">
      <c r="A59" t="s">
        <v>24</v>
      </c>
      <c r="B59" t="s">
        <v>11</v>
      </c>
      <c r="C59">
        <v>301</v>
      </c>
      <c r="D59">
        <v>78</v>
      </c>
      <c r="E59">
        <v>26</v>
      </c>
      <c r="F59">
        <v>16</v>
      </c>
      <c r="G59">
        <v>4</v>
      </c>
      <c r="H59">
        <v>1668000</v>
      </c>
    </row>
    <row r="60" spans="1:8" x14ac:dyDescent="0.3">
      <c r="A60" t="s">
        <v>24</v>
      </c>
      <c r="B60" t="s">
        <v>12</v>
      </c>
      <c r="C60">
        <v>92</v>
      </c>
      <c r="D60">
        <v>43</v>
      </c>
      <c r="E60">
        <v>14</v>
      </c>
      <c r="F60">
        <v>8</v>
      </c>
      <c r="G60">
        <v>1</v>
      </c>
      <c r="H60">
        <v>526000</v>
      </c>
    </row>
    <row r="61" spans="1:8" x14ac:dyDescent="0.3">
      <c r="A61" t="s">
        <v>24</v>
      </c>
      <c r="B61" t="s">
        <v>13</v>
      </c>
      <c r="C61">
        <v>82</v>
      </c>
      <c r="D61">
        <v>56</v>
      </c>
      <c r="E61">
        <v>17</v>
      </c>
      <c r="F61">
        <v>11</v>
      </c>
      <c r="G61">
        <v>4</v>
      </c>
      <c r="H61">
        <v>1844000</v>
      </c>
    </row>
    <row r="62" spans="1:8" x14ac:dyDescent="0.3">
      <c r="A62" t="s">
        <v>25</v>
      </c>
      <c r="B62" t="s">
        <v>9</v>
      </c>
      <c r="C62">
        <v>277</v>
      </c>
      <c r="D62">
        <v>122</v>
      </c>
      <c r="E62">
        <v>32</v>
      </c>
      <c r="F62">
        <v>18</v>
      </c>
      <c r="G62">
        <v>12</v>
      </c>
      <c r="H62">
        <v>4128000</v>
      </c>
    </row>
    <row r="63" spans="1:8" x14ac:dyDescent="0.3">
      <c r="A63" t="s">
        <v>25</v>
      </c>
      <c r="B63" t="s">
        <v>10</v>
      </c>
      <c r="C63">
        <v>209</v>
      </c>
      <c r="D63">
        <v>100</v>
      </c>
      <c r="E63">
        <v>33</v>
      </c>
      <c r="F63">
        <v>20</v>
      </c>
      <c r="G63">
        <v>7</v>
      </c>
      <c r="H63">
        <v>2310000</v>
      </c>
    </row>
    <row r="64" spans="1:8" x14ac:dyDescent="0.3">
      <c r="A64" t="s">
        <v>25</v>
      </c>
      <c r="B64" t="s">
        <v>11</v>
      </c>
      <c r="C64">
        <v>326</v>
      </c>
      <c r="D64">
        <v>94</v>
      </c>
      <c r="E64">
        <v>28</v>
      </c>
      <c r="F64">
        <v>16</v>
      </c>
      <c r="G64">
        <v>5</v>
      </c>
      <c r="H64">
        <v>2290000</v>
      </c>
    </row>
    <row r="65" spans="1:8" x14ac:dyDescent="0.3">
      <c r="A65" t="s">
        <v>25</v>
      </c>
      <c r="B65" t="s">
        <v>12</v>
      </c>
      <c r="C65">
        <v>134</v>
      </c>
      <c r="D65">
        <v>59</v>
      </c>
      <c r="E65">
        <v>20</v>
      </c>
      <c r="F65">
        <v>13</v>
      </c>
      <c r="G65">
        <v>2</v>
      </c>
      <c r="H65">
        <v>906000</v>
      </c>
    </row>
    <row r="66" spans="1:8" x14ac:dyDescent="0.3">
      <c r="A66" t="s">
        <v>25</v>
      </c>
      <c r="B66" t="s">
        <v>13</v>
      </c>
      <c r="C66">
        <v>78</v>
      </c>
      <c r="D66">
        <v>47</v>
      </c>
      <c r="E66">
        <v>15</v>
      </c>
      <c r="F66">
        <v>9</v>
      </c>
      <c r="G66">
        <v>4</v>
      </c>
      <c r="H66">
        <v>1340000</v>
      </c>
    </row>
    <row r="67" spans="1:8" x14ac:dyDescent="0.3">
      <c r="A67" t="s">
        <v>26</v>
      </c>
      <c r="B67" t="s">
        <v>9</v>
      </c>
      <c r="C67">
        <v>314</v>
      </c>
      <c r="D67">
        <v>131</v>
      </c>
      <c r="E67">
        <v>37</v>
      </c>
      <c r="F67">
        <v>24</v>
      </c>
      <c r="G67">
        <v>12</v>
      </c>
      <c r="H67">
        <v>5412000</v>
      </c>
    </row>
    <row r="68" spans="1:8" x14ac:dyDescent="0.3">
      <c r="A68" t="s">
        <v>26</v>
      </c>
      <c r="B68" t="s">
        <v>10</v>
      </c>
      <c r="C68">
        <v>198</v>
      </c>
      <c r="D68">
        <v>94</v>
      </c>
      <c r="E68">
        <v>30</v>
      </c>
      <c r="F68">
        <v>19</v>
      </c>
      <c r="G68">
        <v>6</v>
      </c>
      <c r="H68">
        <v>3252000</v>
      </c>
    </row>
    <row r="69" spans="1:8" x14ac:dyDescent="0.3">
      <c r="A69" t="s">
        <v>26</v>
      </c>
      <c r="B69" t="s">
        <v>11</v>
      </c>
      <c r="C69">
        <v>283</v>
      </c>
      <c r="D69">
        <v>72</v>
      </c>
      <c r="E69">
        <v>21</v>
      </c>
      <c r="F69">
        <v>12</v>
      </c>
      <c r="G69">
        <v>4</v>
      </c>
      <c r="H69">
        <v>1680000</v>
      </c>
    </row>
    <row r="70" spans="1:8" x14ac:dyDescent="0.3">
      <c r="A70" t="s">
        <v>26</v>
      </c>
      <c r="B70" t="s">
        <v>12</v>
      </c>
      <c r="C70">
        <v>143</v>
      </c>
      <c r="D70">
        <v>58</v>
      </c>
      <c r="E70">
        <v>17</v>
      </c>
      <c r="F70">
        <v>10</v>
      </c>
      <c r="G70">
        <v>2</v>
      </c>
      <c r="H70">
        <v>914000</v>
      </c>
    </row>
    <row r="71" spans="1:8" x14ac:dyDescent="0.3">
      <c r="A71" t="s">
        <v>26</v>
      </c>
      <c r="B71" t="s">
        <v>13</v>
      </c>
      <c r="C71">
        <v>86</v>
      </c>
      <c r="D71">
        <v>57</v>
      </c>
      <c r="E71">
        <v>17</v>
      </c>
      <c r="F71">
        <v>10</v>
      </c>
      <c r="G71">
        <v>4</v>
      </c>
      <c r="H71">
        <v>1348000</v>
      </c>
    </row>
    <row r="72" spans="1:8" x14ac:dyDescent="0.3">
      <c r="A72" t="s">
        <v>27</v>
      </c>
      <c r="B72" t="s">
        <v>9</v>
      </c>
      <c r="C72">
        <v>192</v>
      </c>
      <c r="D72">
        <v>87</v>
      </c>
      <c r="E72">
        <v>28</v>
      </c>
      <c r="F72">
        <v>16</v>
      </c>
      <c r="G72">
        <v>8</v>
      </c>
      <c r="H72">
        <v>3576000</v>
      </c>
    </row>
    <row r="73" spans="1:8" x14ac:dyDescent="0.3">
      <c r="A73" t="s">
        <v>27</v>
      </c>
      <c r="B73" t="s">
        <v>10</v>
      </c>
      <c r="C73">
        <v>162</v>
      </c>
      <c r="D73">
        <v>73</v>
      </c>
      <c r="E73">
        <v>23</v>
      </c>
      <c r="F73">
        <v>14</v>
      </c>
      <c r="G73">
        <v>5</v>
      </c>
      <c r="H73">
        <v>1990000</v>
      </c>
    </row>
    <row r="74" spans="1:8" x14ac:dyDescent="0.3">
      <c r="A74" t="s">
        <v>27</v>
      </c>
      <c r="B74" t="s">
        <v>11</v>
      </c>
      <c r="C74">
        <v>281</v>
      </c>
      <c r="D74">
        <v>71</v>
      </c>
      <c r="E74">
        <v>19</v>
      </c>
      <c r="F74">
        <v>11</v>
      </c>
      <c r="G74">
        <v>3</v>
      </c>
      <c r="H74">
        <v>1257000</v>
      </c>
    </row>
    <row r="75" spans="1:8" x14ac:dyDescent="0.3">
      <c r="A75" t="s">
        <v>27</v>
      </c>
      <c r="B75" t="s">
        <v>12</v>
      </c>
      <c r="C75">
        <v>86</v>
      </c>
      <c r="D75">
        <v>36</v>
      </c>
      <c r="E75">
        <v>10</v>
      </c>
      <c r="F75">
        <v>6</v>
      </c>
      <c r="G75">
        <v>1</v>
      </c>
      <c r="H75">
        <v>556000</v>
      </c>
    </row>
    <row r="76" spans="1:8" x14ac:dyDescent="0.3">
      <c r="A76" t="s">
        <v>27</v>
      </c>
      <c r="B76" t="s">
        <v>13</v>
      </c>
      <c r="C76">
        <v>80</v>
      </c>
      <c r="D76">
        <v>51</v>
      </c>
      <c r="E76">
        <v>14</v>
      </c>
      <c r="F76">
        <v>8</v>
      </c>
      <c r="G76">
        <v>4</v>
      </c>
      <c r="H76">
        <v>1740000</v>
      </c>
    </row>
    <row r="77" spans="1:8" x14ac:dyDescent="0.3">
      <c r="A77" t="s">
        <v>28</v>
      </c>
      <c r="B77" t="s">
        <v>9</v>
      </c>
      <c r="C77">
        <v>243</v>
      </c>
      <c r="D77">
        <v>100</v>
      </c>
      <c r="E77">
        <v>33</v>
      </c>
      <c r="F77">
        <v>19</v>
      </c>
      <c r="G77">
        <v>8</v>
      </c>
      <c r="H77">
        <v>2720000</v>
      </c>
    </row>
    <row r="78" spans="1:8" x14ac:dyDescent="0.3">
      <c r="A78" t="s">
        <v>28</v>
      </c>
      <c r="B78" t="s">
        <v>10</v>
      </c>
      <c r="C78">
        <v>215</v>
      </c>
      <c r="D78">
        <v>87</v>
      </c>
      <c r="E78">
        <v>25</v>
      </c>
      <c r="F78">
        <v>15</v>
      </c>
      <c r="G78">
        <v>7</v>
      </c>
      <c r="H78">
        <v>3276000</v>
      </c>
    </row>
    <row r="79" spans="1:8" x14ac:dyDescent="0.3">
      <c r="A79" t="s">
        <v>28</v>
      </c>
      <c r="B79" t="s">
        <v>11</v>
      </c>
      <c r="C79">
        <v>237</v>
      </c>
      <c r="D79">
        <v>60</v>
      </c>
      <c r="E79">
        <v>16</v>
      </c>
      <c r="F79">
        <v>10</v>
      </c>
      <c r="G79">
        <v>4</v>
      </c>
      <c r="H79">
        <v>2044000</v>
      </c>
    </row>
    <row r="80" spans="1:8" x14ac:dyDescent="0.3">
      <c r="A80" t="s">
        <v>28</v>
      </c>
      <c r="B80" t="s">
        <v>12</v>
      </c>
      <c r="C80">
        <v>92</v>
      </c>
      <c r="D80">
        <v>38</v>
      </c>
      <c r="E80">
        <v>12</v>
      </c>
      <c r="F80">
        <v>7</v>
      </c>
      <c r="G80">
        <v>1</v>
      </c>
      <c r="H80">
        <v>351000</v>
      </c>
    </row>
    <row r="81" spans="1:8" x14ac:dyDescent="0.3">
      <c r="A81" t="s">
        <v>28</v>
      </c>
      <c r="B81" t="s">
        <v>13</v>
      </c>
      <c r="C81">
        <v>83</v>
      </c>
      <c r="D81">
        <v>55</v>
      </c>
      <c r="E81">
        <v>16</v>
      </c>
      <c r="F81">
        <v>10</v>
      </c>
      <c r="G81">
        <v>5</v>
      </c>
      <c r="H81">
        <v>2315000</v>
      </c>
    </row>
    <row r="82" spans="1:8" x14ac:dyDescent="0.3">
      <c r="A82" t="s">
        <v>29</v>
      </c>
      <c r="B82" t="s">
        <v>9</v>
      </c>
      <c r="C82">
        <v>203</v>
      </c>
      <c r="D82">
        <v>84</v>
      </c>
      <c r="E82">
        <v>26</v>
      </c>
      <c r="F82">
        <v>15</v>
      </c>
      <c r="G82">
        <v>9</v>
      </c>
      <c r="H82">
        <v>3573000</v>
      </c>
    </row>
    <row r="83" spans="1:8" x14ac:dyDescent="0.3">
      <c r="A83" t="s">
        <v>29</v>
      </c>
      <c r="B83" t="s">
        <v>10</v>
      </c>
      <c r="C83">
        <v>198</v>
      </c>
      <c r="D83">
        <v>96</v>
      </c>
      <c r="E83">
        <v>28</v>
      </c>
      <c r="F83">
        <v>16</v>
      </c>
      <c r="G83">
        <v>6</v>
      </c>
      <c r="H83">
        <v>2346000</v>
      </c>
    </row>
    <row r="84" spans="1:8" x14ac:dyDescent="0.3">
      <c r="A84" t="s">
        <v>29</v>
      </c>
      <c r="B84" t="s">
        <v>11</v>
      </c>
      <c r="C84">
        <v>290</v>
      </c>
      <c r="D84">
        <v>87</v>
      </c>
      <c r="E84">
        <v>27</v>
      </c>
      <c r="F84">
        <v>16</v>
      </c>
      <c r="G84">
        <v>4</v>
      </c>
      <c r="H84">
        <v>2304000</v>
      </c>
    </row>
    <row r="85" spans="1:8" x14ac:dyDescent="0.3">
      <c r="A85" t="s">
        <v>29</v>
      </c>
      <c r="B85" t="s">
        <v>12</v>
      </c>
      <c r="C85">
        <v>81</v>
      </c>
      <c r="D85">
        <v>35</v>
      </c>
      <c r="E85">
        <v>11</v>
      </c>
      <c r="F85">
        <v>7</v>
      </c>
      <c r="G85">
        <v>1</v>
      </c>
      <c r="H85">
        <v>321000</v>
      </c>
    </row>
    <row r="86" spans="1:8" x14ac:dyDescent="0.3">
      <c r="A86" t="s">
        <v>29</v>
      </c>
      <c r="B86" t="s">
        <v>13</v>
      </c>
      <c r="C86">
        <v>90</v>
      </c>
      <c r="D86">
        <v>61</v>
      </c>
      <c r="E86">
        <v>17</v>
      </c>
      <c r="F86">
        <v>11</v>
      </c>
      <c r="G86">
        <v>5</v>
      </c>
      <c r="H86">
        <v>2680000</v>
      </c>
    </row>
    <row r="87" spans="1:8" x14ac:dyDescent="0.3">
      <c r="A87" t="s">
        <v>30</v>
      </c>
      <c r="B87" t="s">
        <v>9</v>
      </c>
      <c r="C87">
        <v>288</v>
      </c>
      <c r="D87">
        <v>126</v>
      </c>
      <c r="E87">
        <v>41</v>
      </c>
      <c r="F87">
        <v>23</v>
      </c>
      <c r="G87">
        <v>12</v>
      </c>
      <c r="H87">
        <v>4680000</v>
      </c>
    </row>
    <row r="88" spans="1:8" x14ac:dyDescent="0.3">
      <c r="A88" t="s">
        <v>30</v>
      </c>
      <c r="B88" t="s">
        <v>10</v>
      </c>
      <c r="C88">
        <v>224</v>
      </c>
      <c r="D88">
        <v>104</v>
      </c>
      <c r="E88">
        <v>32</v>
      </c>
      <c r="F88">
        <v>19</v>
      </c>
      <c r="G88">
        <v>7</v>
      </c>
      <c r="H88">
        <v>2912000</v>
      </c>
    </row>
    <row r="89" spans="1:8" x14ac:dyDescent="0.3">
      <c r="A89" t="s">
        <v>30</v>
      </c>
      <c r="B89" t="s">
        <v>11</v>
      </c>
      <c r="C89">
        <v>270</v>
      </c>
      <c r="D89">
        <v>83</v>
      </c>
      <c r="E89">
        <v>26</v>
      </c>
      <c r="F89">
        <v>16</v>
      </c>
      <c r="G89">
        <v>4</v>
      </c>
      <c r="H89">
        <v>1868000</v>
      </c>
    </row>
    <row r="90" spans="1:8" x14ac:dyDescent="0.3">
      <c r="A90" t="s">
        <v>30</v>
      </c>
      <c r="B90" t="s">
        <v>12</v>
      </c>
      <c r="C90">
        <v>115</v>
      </c>
      <c r="D90">
        <v>51</v>
      </c>
      <c r="E90">
        <v>17</v>
      </c>
      <c r="F90">
        <v>10</v>
      </c>
      <c r="G90">
        <v>1</v>
      </c>
      <c r="H90">
        <v>562000</v>
      </c>
    </row>
    <row r="91" spans="1:8" x14ac:dyDescent="0.3">
      <c r="A91" t="s">
        <v>30</v>
      </c>
      <c r="B91" t="s">
        <v>13</v>
      </c>
      <c r="C91">
        <v>62</v>
      </c>
      <c r="D91">
        <v>40</v>
      </c>
      <c r="E91">
        <v>11</v>
      </c>
      <c r="F91">
        <v>6</v>
      </c>
      <c r="G91">
        <v>3</v>
      </c>
      <c r="H91">
        <v>1425000</v>
      </c>
    </row>
    <row r="92" spans="1:8" x14ac:dyDescent="0.3">
      <c r="A92" t="s">
        <v>31</v>
      </c>
      <c r="B92" t="s">
        <v>9</v>
      </c>
      <c r="C92">
        <v>272</v>
      </c>
      <c r="D92">
        <v>119</v>
      </c>
      <c r="E92">
        <v>32</v>
      </c>
      <c r="F92">
        <v>20</v>
      </c>
      <c r="G92">
        <v>10</v>
      </c>
      <c r="H92">
        <v>4420000</v>
      </c>
    </row>
    <row r="93" spans="1:8" x14ac:dyDescent="0.3">
      <c r="A93" t="s">
        <v>31</v>
      </c>
      <c r="B93" t="s">
        <v>10</v>
      </c>
      <c r="C93">
        <v>171</v>
      </c>
      <c r="D93">
        <v>71</v>
      </c>
      <c r="E93">
        <v>21</v>
      </c>
      <c r="F93">
        <v>14</v>
      </c>
      <c r="G93">
        <v>5</v>
      </c>
      <c r="H93">
        <v>2135000</v>
      </c>
    </row>
    <row r="94" spans="1:8" x14ac:dyDescent="0.3">
      <c r="A94" t="s">
        <v>31</v>
      </c>
      <c r="B94" t="s">
        <v>11</v>
      </c>
      <c r="C94">
        <v>313</v>
      </c>
      <c r="D94">
        <v>81</v>
      </c>
      <c r="E94">
        <v>21</v>
      </c>
      <c r="F94">
        <v>12</v>
      </c>
      <c r="G94">
        <v>4</v>
      </c>
      <c r="H94">
        <v>1652000</v>
      </c>
    </row>
    <row r="95" spans="1:8" x14ac:dyDescent="0.3">
      <c r="A95" t="s">
        <v>31</v>
      </c>
      <c r="B95" t="s">
        <v>12</v>
      </c>
      <c r="C95">
        <v>118</v>
      </c>
      <c r="D95">
        <v>51</v>
      </c>
      <c r="E95">
        <v>17</v>
      </c>
      <c r="F95">
        <v>11</v>
      </c>
      <c r="G95">
        <v>1</v>
      </c>
      <c r="H95">
        <v>321000</v>
      </c>
    </row>
    <row r="96" spans="1:8" x14ac:dyDescent="0.3">
      <c r="A96" t="s">
        <v>31</v>
      </c>
      <c r="B96" t="s">
        <v>13</v>
      </c>
      <c r="C96">
        <v>86</v>
      </c>
      <c r="D96">
        <v>57</v>
      </c>
      <c r="E96">
        <v>19</v>
      </c>
      <c r="F96">
        <v>12</v>
      </c>
      <c r="G96">
        <v>4</v>
      </c>
      <c r="H96">
        <v>2036000</v>
      </c>
    </row>
    <row r="97" spans="1:8" x14ac:dyDescent="0.3">
      <c r="A97" t="s">
        <v>32</v>
      </c>
      <c r="B97" t="s">
        <v>9</v>
      </c>
      <c r="C97">
        <v>256</v>
      </c>
      <c r="D97">
        <v>115</v>
      </c>
      <c r="E97">
        <v>31</v>
      </c>
      <c r="F97">
        <v>20</v>
      </c>
      <c r="G97">
        <v>9</v>
      </c>
      <c r="H97">
        <v>3519000</v>
      </c>
    </row>
    <row r="98" spans="1:8" x14ac:dyDescent="0.3">
      <c r="A98" t="s">
        <v>32</v>
      </c>
      <c r="B98" t="s">
        <v>10</v>
      </c>
      <c r="C98">
        <v>230</v>
      </c>
      <c r="D98">
        <v>110</v>
      </c>
      <c r="E98">
        <v>37</v>
      </c>
      <c r="F98">
        <v>23</v>
      </c>
      <c r="G98">
        <v>7</v>
      </c>
      <c r="H98">
        <v>3367000</v>
      </c>
    </row>
    <row r="99" spans="1:8" x14ac:dyDescent="0.3">
      <c r="A99" t="s">
        <v>32</v>
      </c>
      <c r="B99" t="s">
        <v>11</v>
      </c>
      <c r="C99">
        <v>431</v>
      </c>
      <c r="D99">
        <v>123</v>
      </c>
      <c r="E99">
        <v>38</v>
      </c>
      <c r="F99">
        <v>24</v>
      </c>
      <c r="G99">
        <v>6</v>
      </c>
      <c r="H99">
        <v>2472000</v>
      </c>
    </row>
    <row r="100" spans="1:8" x14ac:dyDescent="0.3">
      <c r="A100" t="s">
        <v>32</v>
      </c>
      <c r="B100" t="s">
        <v>12</v>
      </c>
      <c r="C100">
        <v>118</v>
      </c>
      <c r="D100">
        <v>52</v>
      </c>
      <c r="E100">
        <v>17</v>
      </c>
      <c r="F100">
        <v>10</v>
      </c>
      <c r="G100">
        <v>1</v>
      </c>
      <c r="H100">
        <v>330000</v>
      </c>
    </row>
    <row r="101" spans="1:8" x14ac:dyDescent="0.3">
      <c r="A101" t="s">
        <v>32</v>
      </c>
      <c r="B101" t="s">
        <v>13</v>
      </c>
      <c r="C101">
        <v>114</v>
      </c>
      <c r="D101">
        <v>74</v>
      </c>
      <c r="E101">
        <v>22</v>
      </c>
      <c r="F101">
        <v>14</v>
      </c>
      <c r="G101">
        <v>5</v>
      </c>
      <c r="H101">
        <v>2040000</v>
      </c>
    </row>
    <row r="102" spans="1:8" x14ac:dyDescent="0.3">
      <c r="A102" t="s">
        <v>33</v>
      </c>
      <c r="B102" t="s">
        <v>9</v>
      </c>
      <c r="C102">
        <v>347</v>
      </c>
      <c r="D102">
        <v>160</v>
      </c>
      <c r="E102">
        <v>51</v>
      </c>
      <c r="F102">
        <v>32</v>
      </c>
      <c r="G102">
        <v>13</v>
      </c>
      <c r="H102">
        <v>5538000</v>
      </c>
    </row>
    <row r="103" spans="1:8" x14ac:dyDescent="0.3">
      <c r="A103" t="s">
        <v>33</v>
      </c>
      <c r="B103" t="s">
        <v>10</v>
      </c>
      <c r="C103">
        <v>202</v>
      </c>
      <c r="D103">
        <v>82</v>
      </c>
      <c r="E103">
        <v>24</v>
      </c>
      <c r="F103">
        <v>14</v>
      </c>
      <c r="G103">
        <v>7</v>
      </c>
      <c r="H103">
        <v>2828000</v>
      </c>
    </row>
    <row r="104" spans="1:8" x14ac:dyDescent="0.3">
      <c r="A104" t="s">
        <v>33</v>
      </c>
      <c r="B104" t="s">
        <v>11</v>
      </c>
      <c r="C104">
        <v>404</v>
      </c>
      <c r="D104">
        <v>123</v>
      </c>
      <c r="E104">
        <v>42</v>
      </c>
      <c r="F104">
        <v>24</v>
      </c>
      <c r="G104">
        <v>6</v>
      </c>
      <c r="H104">
        <v>2826000</v>
      </c>
    </row>
    <row r="105" spans="1:8" x14ac:dyDescent="0.3">
      <c r="A105" t="s">
        <v>33</v>
      </c>
      <c r="B105" t="s">
        <v>12</v>
      </c>
      <c r="C105">
        <v>109</v>
      </c>
      <c r="D105">
        <v>46</v>
      </c>
      <c r="E105">
        <v>13</v>
      </c>
      <c r="F105">
        <v>8</v>
      </c>
      <c r="G105">
        <v>1</v>
      </c>
      <c r="H105">
        <v>391000</v>
      </c>
    </row>
    <row r="106" spans="1:8" x14ac:dyDescent="0.3">
      <c r="A106" t="s">
        <v>33</v>
      </c>
      <c r="B106" t="s">
        <v>13</v>
      </c>
      <c r="C106">
        <v>107</v>
      </c>
      <c r="D106">
        <v>68</v>
      </c>
      <c r="E106">
        <v>21</v>
      </c>
      <c r="F106">
        <v>12</v>
      </c>
      <c r="G106">
        <v>6</v>
      </c>
      <c r="H106">
        <v>2220000</v>
      </c>
    </row>
    <row r="107" spans="1:8" x14ac:dyDescent="0.3">
      <c r="A107" t="s">
        <v>34</v>
      </c>
      <c r="B107" t="s">
        <v>9</v>
      </c>
      <c r="C107">
        <v>286</v>
      </c>
      <c r="D107">
        <v>115</v>
      </c>
      <c r="E107">
        <v>39</v>
      </c>
      <c r="F107">
        <v>25</v>
      </c>
      <c r="G107">
        <v>10</v>
      </c>
      <c r="H107">
        <v>3200000</v>
      </c>
    </row>
    <row r="108" spans="1:8" x14ac:dyDescent="0.3">
      <c r="A108" t="s">
        <v>34</v>
      </c>
      <c r="B108" t="s">
        <v>10</v>
      </c>
      <c r="C108">
        <v>193</v>
      </c>
      <c r="D108">
        <v>79</v>
      </c>
      <c r="E108">
        <v>22</v>
      </c>
      <c r="F108">
        <v>14</v>
      </c>
      <c r="G108">
        <v>6</v>
      </c>
      <c r="H108">
        <v>3366000</v>
      </c>
    </row>
    <row r="109" spans="1:8" x14ac:dyDescent="0.3">
      <c r="A109" t="s">
        <v>34</v>
      </c>
      <c r="B109" t="s">
        <v>11</v>
      </c>
      <c r="C109">
        <v>269</v>
      </c>
      <c r="D109">
        <v>78</v>
      </c>
      <c r="E109">
        <v>25</v>
      </c>
      <c r="F109">
        <v>15</v>
      </c>
      <c r="G109">
        <v>3</v>
      </c>
      <c r="H109">
        <v>1608000</v>
      </c>
    </row>
    <row r="110" spans="1:8" x14ac:dyDescent="0.3">
      <c r="A110" t="s">
        <v>34</v>
      </c>
      <c r="B110" t="s">
        <v>12</v>
      </c>
      <c r="C110">
        <v>83</v>
      </c>
      <c r="D110">
        <v>34</v>
      </c>
      <c r="E110">
        <v>11</v>
      </c>
      <c r="F110">
        <v>7</v>
      </c>
      <c r="G110">
        <v>1</v>
      </c>
      <c r="H110">
        <v>334000</v>
      </c>
    </row>
    <row r="111" spans="1:8" x14ac:dyDescent="0.3">
      <c r="A111" t="s">
        <v>34</v>
      </c>
      <c r="B111" t="s">
        <v>13</v>
      </c>
      <c r="C111">
        <v>74</v>
      </c>
      <c r="D111">
        <v>47</v>
      </c>
      <c r="E111">
        <v>12</v>
      </c>
      <c r="F111">
        <v>7</v>
      </c>
      <c r="G111">
        <v>3</v>
      </c>
      <c r="H111">
        <v>1104000</v>
      </c>
    </row>
    <row r="112" spans="1:8" x14ac:dyDescent="0.3">
      <c r="A112" t="s">
        <v>35</v>
      </c>
      <c r="B112" t="s">
        <v>9</v>
      </c>
      <c r="C112">
        <v>277</v>
      </c>
      <c r="D112">
        <v>111</v>
      </c>
      <c r="E112">
        <v>30</v>
      </c>
      <c r="F112">
        <v>18</v>
      </c>
      <c r="G112">
        <v>10</v>
      </c>
      <c r="H112">
        <v>5700000</v>
      </c>
    </row>
    <row r="113" spans="1:8" x14ac:dyDescent="0.3">
      <c r="A113" t="s">
        <v>35</v>
      </c>
      <c r="B113" t="s">
        <v>10</v>
      </c>
      <c r="C113">
        <v>203</v>
      </c>
      <c r="D113">
        <v>90</v>
      </c>
      <c r="E113">
        <v>24</v>
      </c>
      <c r="F113">
        <v>13</v>
      </c>
      <c r="G113">
        <v>6</v>
      </c>
      <c r="H113">
        <v>2778000</v>
      </c>
    </row>
    <row r="114" spans="1:8" x14ac:dyDescent="0.3">
      <c r="A114" t="s">
        <v>35</v>
      </c>
      <c r="B114" t="s">
        <v>11</v>
      </c>
      <c r="C114">
        <v>245</v>
      </c>
      <c r="D114">
        <v>74</v>
      </c>
      <c r="E114">
        <v>21</v>
      </c>
      <c r="F114">
        <v>12</v>
      </c>
      <c r="G114">
        <v>4</v>
      </c>
      <c r="H114">
        <v>1296000</v>
      </c>
    </row>
    <row r="115" spans="1:8" x14ac:dyDescent="0.3">
      <c r="A115" t="s">
        <v>35</v>
      </c>
      <c r="B115" t="s">
        <v>12</v>
      </c>
      <c r="C115">
        <v>114</v>
      </c>
      <c r="D115">
        <v>49</v>
      </c>
      <c r="E115">
        <v>14</v>
      </c>
      <c r="F115">
        <v>8</v>
      </c>
      <c r="G115">
        <v>1</v>
      </c>
      <c r="H115">
        <v>571000</v>
      </c>
    </row>
    <row r="116" spans="1:8" x14ac:dyDescent="0.3">
      <c r="A116" t="s">
        <v>35</v>
      </c>
      <c r="B116" t="s">
        <v>13</v>
      </c>
      <c r="C116">
        <v>74</v>
      </c>
      <c r="D116">
        <v>48</v>
      </c>
      <c r="E116">
        <v>14</v>
      </c>
      <c r="F116">
        <v>8</v>
      </c>
      <c r="G116">
        <v>4</v>
      </c>
      <c r="H116">
        <v>1896000</v>
      </c>
    </row>
    <row r="117" spans="1:8" x14ac:dyDescent="0.3">
      <c r="A117" t="s">
        <v>36</v>
      </c>
      <c r="B117" t="s">
        <v>9</v>
      </c>
      <c r="C117">
        <v>211</v>
      </c>
      <c r="D117">
        <v>96</v>
      </c>
      <c r="E117">
        <v>29</v>
      </c>
      <c r="F117">
        <v>17</v>
      </c>
      <c r="G117">
        <v>8</v>
      </c>
      <c r="H117">
        <v>4560000</v>
      </c>
    </row>
    <row r="118" spans="1:8" x14ac:dyDescent="0.3">
      <c r="A118" t="s">
        <v>36</v>
      </c>
      <c r="B118" t="s">
        <v>10</v>
      </c>
      <c r="C118">
        <v>165</v>
      </c>
      <c r="D118">
        <v>73</v>
      </c>
      <c r="E118">
        <v>23</v>
      </c>
      <c r="F118">
        <v>14</v>
      </c>
      <c r="G118">
        <v>5</v>
      </c>
      <c r="H118">
        <v>2835000</v>
      </c>
    </row>
    <row r="119" spans="1:8" x14ac:dyDescent="0.3">
      <c r="A119" t="s">
        <v>36</v>
      </c>
      <c r="B119" t="s">
        <v>11</v>
      </c>
      <c r="C119">
        <v>264</v>
      </c>
      <c r="D119">
        <v>67</v>
      </c>
      <c r="E119">
        <v>22</v>
      </c>
      <c r="F119">
        <v>13</v>
      </c>
      <c r="G119">
        <v>3</v>
      </c>
      <c r="H119">
        <v>1296000</v>
      </c>
    </row>
    <row r="120" spans="1:8" x14ac:dyDescent="0.3">
      <c r="A120" t="s">
        <v>36</v>
      </c>
      <c r="B120" t="s">
        <v>12</v>
      </c>
      <c r="C120">
        <v>100</v>
      </c>
      <c r="D120">
        <v>42</v>
      </c>
      <c r="E120">
        <v>11</v>
      </c>
      <c r="F120">
        <v>7</v>
      </c>
      <c r="G120">
        <v>1</v>
      </c>
      <c r="H120">
        <v>340000</v>
      </c>
    </row>
    <row r="121" spans="1:8" x14ac:dyDescent="0.3">
      <c r="A121" t="s">
        <v>36</v>
      </c>
      <c r="B121" t="s">
        <v>13</v>
      </c>
      <c r="C121">
        <v>83</v>
      </c>
      <c r="D121">
        <v>51</v>
      </c>
      <c r="E121">
        <v>16</v>
      </c>
      <c r="F121">
        <v>9</v>
      </c>
      <c r="G121">
        <v>5</v>
      </c>
      <c r="H121">
        <v>2000000</v>
      </c>
    </row>
    <row r="122" spans="1:8" x14ac:dyDescent="0.3">
      <c r="A122" t="s">
        <v>37</v>
      </c>
      <c r="B122" t="s">
        <v>9</v>
      </c>
      <c r="C122">
        <v>287</v>
      </c>
      <c r="D122">
        <v>129</v>
      </c>
      <c r="E122">
        <v>34</v>
      </c>
      <c r="F122">
        <v>20</v>
      </c>
      <c r="G122">
        <v>12</v>
      </c>
      <c r="H122">
        <v>5376000</v>
      </c>
    </row>
    <row r="123" spans="1:8" x14ac:dyDescent="0.3">
      <c r="A123" t="s">
        <v>37</v>
      </c>
      <c r="B123" t="s">
        <v>10</v>
      </c>
      <c r="C123">
        <v>167</v>
      </c>
      <c r="D123">
        <v>70</v>
      </c>
      <c r="E123">
        <v>23</v>
      </c>
      <c r="F123">
        <v>14</v>
      </c>
      <c r="G123">
        <v>5</v>
      </c>
      <c r="H123">
        <v>1635000</v>
      </c>
    </row>
    <row r="124" spans="1:8" x14ac:dyDescent="0.3">
      <c r="A124" t="s">
        <v>37</v>
      </c>
      <c r="B124" t="s">
        <v>11</v>
      </c>
      <c r="C124">
        <v>270</v>
      </c>
      <c r="D124">
        <v>76</v>
      </c>
      <c r="E124">
        <v>26</v>
      </c>
      <c r="F124">
        <v>16</v>
      </c>
      <c r="G124">
        <v>4</v>
      </c>
      <c r="H124">
        <v>2276000</v>
      </c>
    </row>
    <row r="125" spans="1:8" x14ac:dyDescent="0.3">
      <c r="A125" t="s">
        <v>37</v>
      </c>
      <c r="B125" t="s">
        <v>12</v>
      </c>
      <c r="C125">
        <v>112</v>
      </c>
      <c r="D125">
        <v>51</v>
      </c>
      <c r="E125">
        <v>15</v>
      </c>
      <c r="F125">
        <v>9</v>
      </c>
      <c r="G125">
        <v>1</v>
      </c>
      <c r="H125">
        <v>455000</v>
      </c>
    </row>
    <row r="126" spans="1:8" x14ac:dyDescent="0.3">
      <c r="A126" t="s">
        <v>37</v>
      </c>
      <c r="B126" t="s">
        <v>13</v>
      </c>
      <c r="C126">
        <v>90</v>
      </c>
      <c r="D126">
        <v>61</v>
      </c>
      <c r="E126">
        <v>20</v>
      </c>
      <c r="F126">
        <v>11</v>
      </c>
      <c r="G126">
        <v>5</v>
      </c>
      <c r="H126">
        <v>2400000</v>
      </c>
    </row>
    <row r="127" spans="1:8" x14ac:dyDescent="0.3">
      <c r="A127" t="s">
        <v>38</v>
      </c>
      <c r="B127" t="s">
        <v>9</v>
      </c>
      <c r="C127">
        <v>272</v>
      </c>
      <c r="D127">
        <v>129</v>
      </c>
      <c r="E127">
        <v>40</v>
      </c>
      <c r="F127">
        <v>23</v>
      </c>
      <c r="G127">
        <v>9</v>
      </c>
      <c r="H127">
        <v>4491000</v>
      </c>
    </row>
    <row r="128" spans="1:8" x14ac:dyDescent="0.3">
      <c r="A128" t="s">
        <v>38</v>
      </c>
      <c r="B128" t="s">
        <v>10</v>
      </c>
      <c r="C128">
        <v>225</v>
      </c>
      <c r="D128">
        <v>101</v>
      </c>
      <c r="E128">
        <v>32</v>
      </c>
      <c r="F128">
        <v>18</v>
      </c>
      <c r="G128">
        <v>6</v>
      </c>
      <c r="H128">
        <v>2532000</v>
      </c>
    </row>
    <row r="129" spans="1:8" x14ac:dyDescent="0.3">
      <c r="A129" t="s">
        <v>38</v>
      </c>
      <c r="B129" t="s">
        <v>11</v>
      </c>
      <c r="C129">
        <v>284</v>
      </c>
      <c r="D129">
        <v>82</v>
      </c>
      <c r="E129">
        <v>24</v>
      </c>
      <c r="F129">
        <v>15</v>
      </c>
      <c r="G129">
        <v>4</v>
      </c>
      <c r="H129">
        <v>2064000</v>
      </c>
    </row>
    <row r="130" spans="1:8" x14ac:dyDescent="0.3">
      <c r="A130" t="s">
        <v>38</v>
      </c>
      <c r="B130" t="s">
        <v>12</v>
      </c>
      <c r="C130">
        <v>110</v>
      </c>
      <c r="D130">
        <v>53</v>
      </c>
      <c r="E130">
        <v>14</v>
      </c>
      <c r="F130">
        <v>9</v>
      </c>
      <c r="G130">
        <v>1</v>
      </c>
      <c r="H130">
        <v>557000</v>
      </c>
    </row>
    <row r="131" spans="1:8" x14ac:dyDescent="0.3">
      <c r="A131" t="s">
        <v>38</v>
      </c>
      <c r="B131" t="s">
        <v>13</v>
      </c>
      <c r="C131">
        <v>69</v>
      </c>
      <c r="D131">
        <v>45</v>
      </c>
      <c r="E131">
        <v>13</v>
      </c>
      <c r="F131">
        <v>7</v>
      </c>
      <c r="G131">
        <v>4</v>
      </c>
      <c r="H131">
        <v>1632000</v>
      </c>
    </row>
    <row r="132" spans="1:8" x14ac:dyDescent="0.3">
      <c r="A132" t="s">
        <v>39</v>
      </c>
      <c r="B132" t="s">
        <v>9</v>
      </c>
      <c r="C132">
        <v>320</v>
      </c>
      <c r="D132">
        <v>145</v>
      </c>
      <c r="E132">
        <v>43</v>
      </c>
      <c r="F132">
        <v>26</v>
      </c>
      <c r="G132">
        <v>11</v>
      </c>
      <c r="H132">
        <v>4345000</v>
      </c>
    </row>
    <row r="133" spans="1:8" x14ac:dyDescent="0.3">
      <c r="A133" t="s">
        <v>39</v>
      </c>
      <c r="B133" t="s">
        <v>10</v>
      </c>
      <c r="C133">
        <v>255</v>
      </c>
      <c r="D133">
        <v>122</v>
      </c>
      <c r="E133">
        <v>37</v>
      </c>
      <c r="F133">
        <v>24</v>
      </c>
      <c r="G133">
        <v>7</v>
      </c>
      <c r="H133">
        <v>2933000</v>
      </c>
    </row>
    <row r="134" spans="1:8" x14ac:dyDescent="0.3">
      <c r="A134" t="s">
        <v>39</v>
      </c>
      <c r="B134" t="s">
        <v>11</v>
      </c>
      <c r="C134">
        <v>356</v>
      </c>
      <c r="D134">
        <v>105</v>
      </c>
      <c r="E134">
        <v>34</v>
      </c>
      <c r="F134">
        <v>20</v>
      </c>
      <c r="G134">
        <v>5</v>
      </c>
      <c r="H134">
        <v>2585000</v>
      </c>
    </row>
    <row r="135" spans="1:8" x14ac:dyDescent="0.3">
      <c r="A135" t="s">
        <v>39</v>
      </c>
      <c r="B135" t="s">
        <v>12</v>
      </c>
      <c r="C135">
        <v>154</v>
      </c>
      <c r="D135">
        <v>71</v>
      </c>
      <c r="E135">
        <v>19</v>
      </c>
      <c r="F135">
        <v>11</v>
      </c>
      <c r="G135">
        <v>2</v>
      </c>
      <c r="H135">
        <v>908000</v>
      </c>
    </row>
    <row r="136" spans="1:8" x14ac:dyDescent="0.3">
      <c r="A136" t="s">
        <v>39</v>
      </c>
      <c r="B136" t="s">
        <v>13</v>
      </c>
      <c r="C136">
        <v>106</v>
      </c>
      <c r="D136">
        <v>66</v>
      </c>
      <c r="E136">
        <v>20</v>
      </c>
      <c r="F136">
        <v>12</v>
      </c>
      <c r="G136">
        <v>5</v>
      </c>
      <c r="H136">
        <v>2160000</v>
      </c>
    </row>
    <row r="137" spans="1:8" x14ac:dyDescent="0.3">
      <c r="A137" t="s">
        <v>40</v>
      </c>
      <c r="B137" t="s">
        <v>9</v>
      </c>
      <c r="C137">
        <v>296</v>
      </c>
      <c r="D137">
        <v>122</v>
      </c>
      <c r="E137">
        <v>34</v>
      </c>
      <c r="F137">
        <v>21</v>
      </c>
      <c r="G137">
        <v>10</v>
      </c>
      <c r="H137">
        <v>4620000</v>
      </c>
    </row>
    <row r="138" spans="1:8" x14ac:dyDescent="0.3">
      <c r="A138" t="s">
        <v>40</v>
      </c>
      <c r="B138" t="s">
        <v>10</v>
      </c>
      <c r="C138">
        <v>299</v>
      </c>
      <c r="D138">
        <v>137</v>
      </c>
      <c r="E138">
        <v>46</v>
      </c>
      <c r="F138">
        <v>25</v>
      </c>
      <c r="G138">
        <v>10</v>
      </c>
      <c r="H138">
        <v>4010000</v>
      </c>
    </row>
    <row r="139" spans="1:8" x14ac:dyDescent="0.3">
      <c r="A139" t="s">
        <v>40</v>
      </c>
      <c r="B139" t="s">
        <v>11</v>
      </c>
      <c r="C139">
        <v>334</v>
      </c>
      <c r="D139">
        <v>92</v>
      </c>
      <c r="E139">
        <v>31</v>
      </c>
      <c r="F139">
        <v>20</v>
      </c>
      <c r="G139">
        <v>4</v>
      </c>
      <c r="H139">
        <v>2140000</v>
      </c>
    </row>
    <row r="140" spans="1:8" x14ac:dyDescent="0.3">
      <c r="A140" t="s">
        <v>40</v>
      </c>
      <c r="B140" t="s">
        <v>12</v>
      </c>
      <c r="C140">
        <v>131</v>
      </c>
      <c r="D140">
        <v>52</v>
      </c>
      <c r="E140">
        <v>17</v>
      </c>
      <c r="F140">
        <v>10</v>
      </c>
      <c r="G140">
        <v>1</v>
      </c>
      <c r="H140">
        <v>536000</v>
      </c>
    </row>
    <row r="141" spans="1:8" x14ac:dyDescent="0.3">
      <c r="A141" t="s">
        <v>40</v>
      </c>
      <c r="B141" t="s">
        <v>13</v>
      </c>
      <c r="C141">
        <v>94</v>
      </c>
      <c r="D141">
        <v>62</v>
      </c>
      <c r="E141">
        <v>20</v>
      </c>
      <c r="F141">
        <v>12</v>
      </c>
      <c r="G141">
        <v>4</v>
      </c>
      <c r="H141">
        <v>1724000</v>
      </c>
    </row>
    <row r="142" spans="1:8" x14ac:dyDescent="0.3">
      <c r="A142" t="s">
        <v>41</v>
      </c>
      <c r="B142" t="s">
        <v>9</v>
      </c>
      <c r="C142">
        <v>234</v>
      </c>
      <c r="D142">
        <v>93</v>
      </c>
      <c r="E142">
        <v>26</v>
      </c>
      <c r="F142">
        <v>14</v>
      </c>
      <c r="G142">
        <v>9</v>
      </c>
      <c r="H142">
        <v>3492000</v>
      </c>
    </row>
    <row r="143" spans="1:8" x14ac:dyDescent="0.3">
      <c r="A143" t="s">
        <v>41</v>
      </c>
      <c r="B143" t="s">
        <v>10</v>
      </c>
      <c r="C143">
        <v>222</v>
      </c>
      <c r="D143">
        <v>103</v>
      </c>
      <c r="E143">
        <v>29</v>
      </c>
      <c r="F143">
        <v>17</v>
      </c>
      <c r="G143">
        <v>7</v>
      </c>
      <c r="H143">
        <v>3150000</v>
      </c>
    </row>
    <row r="144" spans="1:8" x14ac:dyDescent="0.3">
      <c r="A144" t="s">
        <v>41</v>
      </c>
      <c r="B144" t="s">
        <v>11</v>
      </c>
      <c r="C144">
        <v>297</v>
      </c>
      <c r="D144">
        <v>86</v>
      </c>
      <c r="E144">
        <v>29</v>
      </c>
      <c r="F144">
        <v>16</v>
      </c>
      <c r="G144">
        <v>4</v>
      </c>
      <c r="H144">
        <v>2188000</v>
      </c>
    </row>
    <row r="145" spans="1:8" x14ac:dyDescent="0.3">
      <c r="A145" t="s">
        <v>41</v>
      </c>
      <c r="B145" t="s">
        <v>12</v>
      </c>
      <c r="C145">
        <v>114</v>
      </c>
      <c r="D145">
        <v>47</v>
      </c>
      <c r="E145">
        <v>13</v>
      </c>
      <c r="F145">
        <v>8</v>
      </c>
      <c r="G145">
        <v>1</v>
      </c>
      <c r="H145">
        <v>551000</v>
      </c>
    </row>
    <row r="146" spans="1:8" x14ac:dyDescent="0.3">
      <c r="A146" t="s">
        <v>41</v>
      </c>
      <c r="B146" t="s">
        <v>13</v>
      </c>
      <c r="C146">
        <v>94</v>
      </c>
      <c r="D146">
        <v>58</v>
      </c>
      <c r="E146">
        <v>17</v>
      </c>
      <c r="F146">
        <v>11</v>
      </c>
      <c r="G146">
        <v>5</v>
      </c>
      <c r="H146">
        <v>2490000</v>
      </c>
    </row>
    <row r="147" spans="1:8" x14ac:dyDescent="0.3">
      <c r="A147" t="s">
        <v>42</v>
      </c>
      <c r="B147" t="s">
        <v>9</v>
      </c>
      <c r="C147">
        <v>294</v>
      </c>
      <c r="D147">
        <v>120</v>
      </c>
      <c r="E147">
        <v>38</v>
      </c>
      <c r="F147">
        <v>23</v>
      </c>
      <c r="G147">
        <v>10</v>
      </c>
      <c r="H147">
        <v>3570000</v>
      </c>
    </row>
    <row r="148" spans="1:8" x14ac:dyDescent="0.3">
      <c r="A148" t="s">
        <v>42</v>
      </c>
      <c r="B148" t="s">
        <v>10</v>
      </c>
      <c r="C148">
        <v>228</v>
      </c>
      <c r="D148">
        <v>105</v>
      </c>
      <c r="E148">
        <v>29</v>
      </c>
      <c r="F148">
        <v>17</v>
      </c>
      <c r="G148">
        <v>7</v>
      </c>
      <c r="H148">
        <v>3717000</v>
      </c>
    </row>
    <row r="149" spans="1:8" x14ac:dyDescent="0.3">
      <c r="A149" t="s">
        <v>42</v>
      </c>
      <c r="B149" t="s">
        <v>11</v>
      </c>
      <c r="C149">
        <v>265</v>
      </c>
      <c r="D149">
        <v>81</v>
      </c>
      <c r="E149">
        <v>21</v>
      </c>
      <c r="F149">
        <v>12</v>
      </c>
      <c r="G149">
        <v>4</v>
      </c>
      <c r="H149">
        <v>1708000</v>
      </c>
    </row>
    <row r="150" spans="1:8" x14ac:dyDescent="0.3">
      <c r="A150" t="s">
        <v>42</v>
      </c>
      <c r="B150" t="s">
        <v>12</v>
      </c>
      <c r="C150">
        <v>86</v>
      </c>
      <c r="D150">
        <v>34</v>
      </c>
      <c r="E150">
        <v>10</v>
      </c>
      <c r="F150">
        <v>6</v>
      </c>
      <c r="G150">
        <v>1</v>
      </c>
      <c r="H150">
        <v>428000</v>
      </c>
    </row>
    <row r="151" spans="1:8" x14ac:dyDescent="0.3">
      <c r="A151" t="s">
        <v>42</v>
      </c>
      <c r="B151" t="s">
        <v>13</v>
      </c>
      <c r="C151">
        <v>96</v>
      </c>
      <c r="D151">
        <v>65</v>
      </c>
      <c r="E151">
        <v>20</v>
      </c>
      <c r="F151">
        <v>13</v>
      </c>
      <c r="G151">
        <v>5</v>
      </c>
      <c r="H151">
        <v>2525000</v>
      </c>
    </row>
    <row r="152" spans="1:8" x14ac:dyDescent="0.3">
      <c r="A152" t="s">
        <v>43</v>
      </c>
      <c r="B152" t="s">
        <v>9</v>
      </c>
      <c r="C152">
        <v>281</v>
      </c>
      <c r="D152">
        <v>114</v>
      </c>
      <c r="E152">
        <v>32</v>
      </c>
      <c r="F152">
        <v>18</v>
      </c>
      <c r="G152">
        <v>12</v>
      </c>
      <c r="H152">
        <v>4488000</v>
      </c>
    </row>
    <row r="153" spans="1:8" x14ac:dyDescent="0.3">
      <c r="A153" t="s">
        <v>43</v>
      </c>
      <c r="B153" t="s">
        <v>10</v>
      </c>
      <c r="C153">
        <v>208</v>
      </c>
      <c r="D153">
        <v>100</v>
      </c>
      <c r="E153">
        <v>26</v>
      </c>
      <c r="F153">
        <v>14</v>
      </c>
      <c r="G153">
        <v>6</v>
      </c>
      <c r="H153">
        <v>3174000</v>
      </c>
    </row>
    <row r="154" spans="1:8" x14ac:dyDescent="0.3">
      <c r="A154" t="s">
        <v>43</v>
      </c>
      <c r="B154" t="s">
        <v>11</v>
      </c>
      <c r="C154">
        <v>337</v>
      </c>
      <c r="D154">
        <v>96</v>
      </c>
      <c r="E154">
        <v>31</v>
      </c>
      <c r="F154">
        <v>19</v>
      </c>
      <c r="G154">
        <v>4</v>
      </c>
      <c r="H154">
        <v>1612000</v>
      </c>
    </row>
    <row r="155" spans="1:8" x14ac:dyDescent="0.3">
      <c r="A155" t="s">
        <v>43</v>
      </c>
      <c r="B155" t="s">
        <v>12</v>
      </c>
      <c r="C155">
        <v>102</v>
      </c>
      <c r="D155">
        <v>43</v>
      </c>
      <c r="E155">
        <v>12</v>
      </c>
      <c r="F155">
        <v>7</v>
      </c>
      <c r="G155">
        <v>1</v>
      </c>
      <c r="H155">
        <v>553000</v>
      </c>
    </row>
    <row r="156" spans="1:8" x14ac:dyDescent="0.3">
      <c r="A156" t="s">
        <v>43</v>
      </c>
      <c r="B156" t="s">
        <v>13</v>
      </c>
      <c r="C156">
        <v>98</v>
      </c>
      <c r="D156">
        <v>56</v>
      </c>
      <c r="E156">
        <v>16</v>
      </c>
      <c r="F156">
        <v>9</v>
      </c>
      <c r="G156">
        <v>5</v>
      </c>
      <c r="H156">
        <v>2220000</v>
      </c>
    </row>
    <row r="157" spans="1:8" x14ac:dyDescent="0.3">
      <c r="A157" t="s">
        <v>44</v>
      </c>
      <c r="B157" t="s">
        <v>9</v>
      </c>
      <c r="C157">
        <v>269</v>
      </c>
      <c r="D157">
        <v>125</v>
      </c>
      <c r="E157">
        <v>38</v>
      </c>
      <c r="F157">
        <v>21</v>
      </c>
      <c r="G157">
        <v>9</v>
      </c>
      <c r="H157">
        <v>4068000</v>
      </c>
    </row>
    <row r="158" spans="1:8" x14ac:dyDescent="0.3">
      <c r="A158" t="s">
        <v>44</v>
      </c>
      <c r="B158" t="s">
        <v>10</v>
      </c>
      <c r="C158">
        <v>247</v>
      </c>
      <c r="D158">
        <v>117</v>
      </c>
      <c r="E158">
        <v>35</v>
      </c>
      <c r="F158">
        <v>22</v>
      </c>
      <c r="G158">
        <v>9</v>
      </c>
      <c r="H158">
        <v>4194000</v>
      </c>
    </row>
    <row r="159" spans="1:8" x14ac:dyDescent="0.3">
      <c r="A159" t="s">
        <v>44</v>
      </c>
      <c r="B159" t="s">
        <v>11</v>
      </c>
      <c r="C159">
        <v>338</v>
      </c>
      <c r="D159">
        <v>90</v>
      </c>
      <c r="E159">
        <v>27</v>
      </c>
      <c r="F159">
        <v>16</v>
      </c>
      <c r="G159">
        <v>5</v>
      </c>
      <c r="H159">
        <v>2070000</v>
      </c>
    </row>
    <row r="160" spans="1:8" x14ac:dyDescent="0.3">
      <c r="A160" t="s">
        <v>44</v>
      </c>
      <c r="B160" t="s">
        <v>12</v>
      </c>
      <c r="C160">
        <v>87</v>
      </c>
      <c r="D160">
        <v>38</v>
      </c>
      <c r="E160">
        <v>11</v>
      </c>
      <c r="F160">
        <v>6</v>
      </c>
      <c r="G160">
        <v>1</v>
      </c>
      <c r="H160">
        <v>470000</v>
      </c>
    </row>
    <row r="161" spans="1:8" x14ac:dyDescent="0.3">
      <c r="A161" t="s">
        <v>44</v>
      </c>
      <c r="B161" t="s">
        <v>13</v>
      </c>
      <c r="C161">
        <v>97</v>
      </c>
      <c r="D161">
        <v>57</v>
      </c>
      <c r="E161">
        <v>17</v>
      </c>
      <c r="F161">
        <v>11</v>
      </c>
      <c r="G161">
        <v>5</v>
      </c>
      <c r="H161">
        <v>2240000</v>
      </c>
    </row>
    <row r="162" spans="1:8" x14ac:dyDescent="0.3">
      <c r="A162" t="s">
        <v>45</v>
      </c>
      <c r="B162" t="s">
        <v>9</v>
      </c>
      <c r="C162">
        <v>235</v>
      </c>
      <c r="D162">
        <v>94</v>
      </c>
      <c r="E162">
        <v>25</v>
      </c>
      <c r="F162">
        <v>15</v>
      </c>
      <c r="G162">
        <v>8</v>
      </c>
      <c r="H162">
        <v>2832000</v>
      </c>
    </row>
    <row r="163" spans="1:8" x14ac:dyDescent="0.3">
      <c r="A163" t="s">
        <v>45</v>
      </c>
      <c r="B163" t="s">
        <v>10</v>
      </c>
      <c r="C163">
        <v>208</v>
      </c>
      <c r="D163">
        <v>93</v>
      </c>
      <c r="E163">
        <v>26</v>
      </c>
      <c r="F163">
        <v>15</v>
      </c>
      <c r="G163">
        <v>6</v>
      </c>
      <c r="H163">
        <v>2850000</v>
      </c>
    </row>
    <row r="164" spans="1:8" x14ac:dyDescent="0.3">
      <c r="A164" t="s">
        <v>45</v>
      </c>
      <c r="B164" t="s">
        <v>11</v>
      </c>
      <c r="C164">
        <v>261</v>
      </c>
      <c r="D164">
        <v>79</v>
      </c>
      <c r="E164">
        <v>26</v>
      </c>
      <c r="F164">
        <v>15</v>
      </c>
      <c r="G164">
        <v>4</v>
      </c>
      <c r="H164">
        <v>1536000</v>
      </c>
    </row>
    <row r="165" spans="1:8" x14ac:dyDescent="0.3">
      <c r="A165" t="s">
        <v>45</v>
      </c>
      <c r="B165" t="s">
        <v>12</v>
      </c>
      <c r="C165">
        <v>92</v>
      </c>
      <c r="D165">
        <v>39</v>
      </c>
      <c r="E165">
        <v>13</v>
      </c>
      <c r="F165">
        <v>8</v>
      </c>
      <c r="G165">
        <v>1</v>
      </c>
      <c r="H165">
        <v>440000</v>
      </c>
    </row>
    <row r="166" spans="1:8" x14ac:dyDescent="0.3">
      <c r="A166" t="s">
        <v>45</v>
      </c>
      <c r="B166" t="s">
        <v>13</v>
      </c>
      <c r="C166">
        <v>72</v>
      </c>
      <c r="D166">
        <v>41</v>
      </c>
      <c r="E166">
        <v>12</v>
      </c>
      <c r="F166">
        <v>8</v>
      </c>
      <c r="G166">
        <v>4</v>
      </c>
      <c r="H166">
        <v>2060000</v>
      </c>
    </row>
    <row r="167" spans="1:8" x14ac:dyDescent="0.3">
      <c r="A167" t="s">
        <v>46</v>
      </c>
      <c r="B167" t="s">
        <v>9</v>
      </c>
      <c r="C167">
        <v>292</v>
      </c>
      <c r="D167">
        <v>116</v>
      </c>
      <c r="E167">
        <v>36</v>
      </c>
      <c r="F167">
        <v>23</v>
      </c>
      <c r="G167">
        <v>13</v>
      </c>
      <c r="H167">
        <v>5122000</v>
      </c>
    </row>
    <row r="168" spans="1:8" x14ac:dyDescent="0.3">
      <c r="A168" t="s">
        <v>46</v>
      </c>
      <c r="B168" t="s">
        <v>10</v>
      </c>
      <c r="C168">
        <v>260</v>
      </c>
      <c r="D168">
        <v>111</v>
      </c>
      <c r="E168">
        <v>36</v>
      </c>
      <c r="F168">
        <v>23</v>
      </c>
      <c r="G168">
        <v>7</v>
      </c>
      <c r="H168">
        <v>3003000</v>
      </c>
    </row>
    <row r="169" spans="1:8" x14ac:dyDescent="0.3">
      <c r="A169" t="s">
        <v>46</v>
      </c>
      <c r="B169" t="s">
        <v>11</v>
      </c>
      <c r="C169">
        <v>457</v>
      </c>
      <c r="D169">
        <v>138</v>
      </c>
      <c r="E169">
        <v>42</v>
      </c>
      <c r="F169">
        <v>25</v>
      </c>
      <c r="G169">
        <v>6</v>
      </c>
      <c r="H169">
        <v>2874000</v>
      </c>
    </row>
    <row r="170" spans="1:8" x14ac:dyDescent="0.3">
      <c r="A170" t="s">
        <v>46</v>
      </c>
      <c r="B170" t="s">
        <v>12</v>
      </c>
      <c r="C170">
        <v>121</v>
      </c>
      <c r="D170">
        <v>54</v>
      </c>
      <c r="E170">
        <v>18</v>
      </c>
      <c r="F170">
        <v>10</v>
      </c>
      <c r="G170">
        <v>1</v>
      </c>
      <c r="H170">
        <v>456000</v>
      </c>
    </row>
    <row r="171" spans="1:8" x14ac:dyDescent="0.3">
      <c r="A171" t="s">
        <v>46</v>
      </c>
      <c r="B171" t="s">
        <v>13</v>
      </c>
      <c r="C171">
        <v>125</v>
      </c>
      <c r="D171">
        <v>83</v>
      </c>
      <c r="E171">
        <v>27</v>
      </c>
      <c r="F171">
        <v>17</v>
      </c>
      <c r="G171">
        <v>6</v>
      </c>
      <c r="H171">
        <v>2124000</v>
      </c>
    </row>
    <row r="172" spans="1:8" x14ac:dyDescent="0.3">
      <c r="A172" t="s">
        <v>47</v>
      </c>
      <c r="B172" t="s">
        <v>9</v>
      </c>
      <c r="C172">
        <v>362</v>
      </c>
      <c r="D172">
        <v>163</v>
      </c>
      <c r="E172">
        <v>49</v>
      </c>
      <c r="F172">
        <v>28</v>
      </c>
      <c r="G172">
        <v>14</v>
      </c>
      <c r="H172">
        <v>5208000</v>
      </c>
    </row>
    <row r="173" spans="1:8" x14ac:dyDescent="0.3">
      <c r="A173" t="s">
        <v>47</v>
      </c>
      <c r="B173" t="s">
        <v>10</v>
      </c>
      <c r="C173">
        <v>262</v>
      </c>
      <c r="D173">
        <v>113</v>
      </c>
      <c r="E173">
        <v>37</v>
      </c>
      <c r="F173">
        <v>21</v>
      </c>
      <c r="G173">
        <v>8</v>
      </c>
      <c r="H173">
        <v>3248000</v>
      </c>
    </row>
    <row r="174" spans="1:8" x14ac:dyDescent="0.3">
      <c r="A174" t="s">
        <v>47</v>
      </c>
      <c r="B174" t="s">
        <v>11</v>
      </c>
      <c r="C174">
        <v>410</v>
      </c>
      <c r="D174">
        <v>115</v>
      </c>
      <c r="E174">
        <v>31</v>
      </c>
      <c r="F174">
        <v>17</v>
      </c>
      <c r="G174">
        <v>5</v>
      </c>
      <c r="H174">
        <v>1875000</v>
      </c>
    </row>
    <row r="175" spans="1:8" x14ac:dyDescent="0.3">
      <c r="A175" t="s">
        <v>47</v>
      </c>
      <c r="B175" t="s">
        <v>12</v>
      </c>
      <c r="C175">
        <v>140</v>
      </c>
      <c r="D175">
        <v>66</v>
      </c>
      <c r="E175">
        <v>21</v>
      </c>
      <c r="F175">
        <v>12</v>
      </c>
      <c r="G175">
        <v>2</v>
      </c>
      <c r="H175">
        <v>792000</v>
      </c>
    </row>
    <row r="176" spans="1:8" x14ac:dyDescent="0.3">
      <c r="A176" t="s">
        <v>47</v>
      </c>
      <c r="B176" t="s">
        <v>13</v>
      </c>
      <c r="C176">
        <v>105</v>
      </c>
      <c r="D176">
        <v>71</v>
      </c>
      <c r="E176">
        <v>21</v>
      </c>
      <c r="F176">
        <v>13</v>
      </c>
      <c r="G176">
        <v>5</v>
      </c>
      <c r="H176">
        <v>2065000</v>
      </c>
    </row>
    <row r="177" spans="1:8" x14ac:dyDescent="0.3">
      <c r="A177" t="s">
        <v>48</v>
      </c>
      <c r="B177" t="s">
        <v>9</v>
      </c>
      <c r="C177">
        <v>275</v>
      </c>
      <c r="D177">
        <v>115</v>
      </c>
      <c r="E177">
        <v>31</v>
      </c>
      <c r="F177">
        <v>18</v>
      </c>
      <c r="G177">
        <v>11</v>
      </c>
      <c r="H177">
        <v>3542000</v>
      </c>
    </row>
    <row r="178" spans="1:8" x14ac:dyDescent="0.3">
      <c r="A178" t="s">
        <v>48</v>
      </c>
      <c r="B178" t="s">
        <v>10</v>
      </c>
      <c r="C178">
        <v>201</v>
      </c>
      <c r="D178">
        <v>93</v>
      </c>
      <c r="E178">
        <v>29</v>
      </c>
      <c r="F178">
        <v>17</v>
      </c>
      <c r="G178">
        <v>6</v>
      </c>
      <c r="H178">
        <v>2544000</v>
      </c>
    </row>
    <row r="179" spans="1:8" x14ac:dyDescent="0.3">
      <c r="A179" t="s">
        <v>48</v>
      </c>
      <c r="B179" t="s">
        <v>11</v>
      </c>
      <c r="C179">
        <v>362</v>
      </c>
      <c r="D179">
        <v>104</v>
      </c>
      <c r="E179">
        <v>32</v>
      </c>
      <c r="F179">
        <v>18</v>
      </c>
      <c r="G179">
        <v>6</v>
      </c>
      <c r="H179">
        <v>3360000</v>
      </c>
    </row>
    <row r="180" spans="1:8" x14ac:dyDescent="0.3">
      <c r="A180" t="s">
        <v>48</v>
      </c>
      <c r="B180" t="s">
        <v>12</v>
      </c>
      <c r="C180">
        <v>122</v>
      </c>
      <c r="D180">
        <v>51</v>
      </c>
      <c r="E180">
        <v>16</v>
      </c>
      <c r="F180">
        <v>10</v>
      </c>
      <c r="G180">
        <v>1</v>
      </c>
      <c r="H180">
        <v>457000</v>
      </c>
    </row>
    <row r="181" spans="1:8" x14ac:dyDescent="0.3">
      <c r="A181" t="s">
        <v>48</v>
      </c>
      <c r="B181" t="s">
        <v>13</v>
      </c>
      <c r="C181">
        <v>71</v>
      </c>
      <c r="D181">
        <v>46</v>
      </c>
      <c r="E181">
        <v>14</v>
      </c>
      <c r="F181">
        <v>8</v>
      </c>
      <c r="G181">
        <v>4</v>
      </c>
      <c r="H181">
        <v>2184000</v>
      </c>
    </row>
    <row r="182" spans="1:8" x14ac:dyDescent="0.3">
      <c r="A182" t="s">
        <v>49</v>
      </c>
      <c r="B182" t="s">
        <v>9</v>
      </c>
      <c r="C182">
        <v>238</v>
      </c>
      <c r="D182">
        <v>95</v>
      </c>
      <c r="E182">
        <v>30</v>
      </c>
      <c r="F182">
        <v>18</v>
      </c>
      <c r="G182">
        <v>10</v>
      </c>
      <c r="H182">
        <v>5150000</v>
      </c>
    </row>
    <row r="183" spans="1:8" x14ac:dyDescent="0.3">
      <c r="A183" t="s">
        <v>49</v>
      </c>
      <c r="B183" t="s">
        <v>10</v>
      </c>
      <c r="C183">
        <v>206</v>
      </c>
      <c r="D183">
        <v>84</v>
      </c>
      <c r="E183">
        <v>23</v>
      </c>
      <c r="F183">
        <v>13</v>
      </c>
      <c r="G183">
        <v>6</v>
      </c>
      <c r="H183">
        <v>3096000</v>
      </c>
    </row>
    <row r="184" spans="1:8" x14ac:dyDescent="0.3">
      <c r="A184" t="s">
        <v>49</v>
      </c>
      <c r="B184" t="s">
        <v>11</v>
      </c>
      <c r="C184">
        <v>340</v>
      </c>
      <c r="D184">
        <v>102</v>
      </c>
      <c r="E184">
        <v>33</v>
      </c>
      <c r="F184">
        <v>21</v>
      </c>
      <c r="G184">
        <v>5</v>
      </c>
      <c r="H184">
        <v>2175000</v>
      </c>
    </row>
    <row r="185" spans="1:8" x14ac:dyDescent="0.3">
      <c r="A185" t="s">
        <v>49</v>
      </c>
      <c r="B185" t="s">
        <v>12</v>
      </c>
      <c r="C185">
        <v>108</v>
      </c>
      <c r="D185">
        <v>51</v>
      </c>
      <c r="E185">
        <v>16</v>
      </c>
      <c r="F185">
        <v>10</v>
      </c>
      <c r="G185">
        <v>1</v>
      </c>
      <c r="H185">
        <v>480000</v>
      </c>
    </row>
    <row r="186" spans="1:8" x14ac:dyDescent="0.3">
      <c r="A186" t="s">
        <v>49</v>
      </c>
      <c r="B186" t="s">
        <v>13</v>
      </c>
      <c r="C186">
        <v>74</v>
      </c>
      <c r="D186">
        <v>41</v>
      </c>
      <c r="E186">
        <v>14</v>
      </c>
      <c r="F186">
        <v>8</v>
      </c>
      <c r="G186">
        <v>4</v>
      </c>
      <c r="H186">
        <v>2096000</v>
      </c>
    </row>
    <row r="187" spans="1:8" x14ac:dyDescent="0.3">
      <c r="A187" t="s">
        <v>50</v>
      </c>
      <c r="B187" t="s">
        <v>9</v>
      </c>
      <c r="C187">
        <v>295</v>
      </c>
      <c r="D187">
        <v>133</v>
      </c>
      <c r="E187">
        <v>40</v>
      </c>
      <c r="F187">
        <v>23</v>
      </c>
      <c r="G187">
        <v>11</v>
      </c>
      <c r="H187">
        <v>3674000</v>
      </c>
    </row>
    <row r="188" spans="1:8" x14ac:dyDescent="0.3">
      <c r="A188" t="s">
        <v>50</v>
      </c>
      <c r="B188" t="s">
        <v>10</v>
      </c>
      <c r="C188">
        <v>214</v>
      </c>
      <c r="D188">
        <v>92</v>
      </c>
      <c r="E188">
        <v>28</v>
      </c>
      <c r="F188">
        <v>17</v>
      </c>
      <c r="G188">
        <v>7</v>
      </c>
      <c r="H188">
        <v>2506000</v>
      </c>
    </row>
    <row r="189" spans="1:8" x14ac:dyDescent="0.3">
      <c r="A189" t="s">
        <v>50</v>
      </c>
      <c r="B189" t="s">
        <v>11</v>
      </c>
      <c r="C189">
        <v>284</v>
      </c>
      <c r="D189">
        <v>76</v>
      </c>
      <c r="E189">
        <v>23</v>
      </c>
      <c r="F189">
        <v>14</v>
      </c>
      <c r="G189">
        <v>4</v>
      </c>
      <c r="H189">
        <v>2124000</v>
      </c>
    </row>
    <row r="190" spans="1:8" x14ac:dyDescent="0.3">
      <c r="A190" t="s">
        <v>50</v>
      </c>
      <c r="B190" t="s">
        <v>12</v>
      </c>
      <c r="C190">
        <v>128</v>
      </c>
      <c r="D190">
        <v>57</v>
      </c>
      <c r="E190">
        <v>18</v>
      </c>
      <c r="F190">
        <v>10</v>
      </c>
      <c r="G190">
        <v>2</v>
      </c>
      <c r="H190">
        <v>780000</v>
      </c>
    </row>
    <row r="191" spans="1:8" x14ac:dyDescent="0.3">
      <c r="A191" t="s">
        <v>50</v>
      </c>
      <c r="B191" t="s">
        <v>13</v>
      </c>
      <c r="C191">
        <v>70</v>
      </c>
      <c r="D191">
        <v>40</v>
      </c>
      <c r="E191">
        <v>14</v>
      </c>
      <c r="F191">
        <v>9</v>
      </c>
      <c r="G191">
        <v>3</v>
      </c>
      <c r="H191">
        <v>1554000</v>
      </c>
    </row>
    <row r="192" spans="1:8" x14ac:dyDescent="0.3">
      <c r="A192" t="s">
        <v>51</v>
      </c>
      <c r="B192" t="s">
        <v>9</v>
      </c>
      <c r="C192">
        <v>278</v>
      </c>
      <c r="D192">
        <v>122</v>
      </c>
      <c r="E192">
        <v>40</v>
      </c>
      <c r="F192">
        <v>22</v>
      </c>
      <c r="G192">
        <v>10</v>
      </c>
      <c r="H192">
        <v>4470000</v>
      </c>
    </row>
    <row r="193" spans="1:8" x14ac:dyDescent="0.3">
      <c r="A193" t="s">
        <v>51</v>
      </c>
      <c r="B193" t="s">
        <v>10</v>
      </c>
      <c r="C193">
        <v>193</v>
      </c>
      <c r="D193">
        <v>90</v>
      </c>
      <c r="E193">
        <v>24</v>
      </c>
      <c r="F193">
        <v>13</v>
      </c>
      <c r="G193">
        <v>6</v>
      </c>
      <c r="H193">
        <v>2940000</v>
      </c>
    </row>
    <row r="194" spans="1:8" x14ac:dyDescent="0.3">
      <c r="A194" t="s">
        <v>51</v>
      </c>
      <c r="B194" t="s">
        <v>11</v>
      </c>
      <c r="C194">
        <v>299</v>
      </c>
      <c r="D194">
        <v>81</v>
      </c>
      <c r="E194">
        <v>24</v>
      </c>
      <c r="F194">
        <v>14</v>
      </c>
      <c r="G194">
        <v>5</v>
      </c>
      <c r="H194">
        <v>1790000</v>
      </c>
    </row>
    <row r="195" spans="1:8" x14ac:dyDescent="0.3">
      <c r="A195" t="s">
        <v>51</v>
      </c>
      <c r="B195" t="s">
        <v>12</v>
      </c>
      <c r="C195">
        <v>123</v>
      </c>
      <c r="D195">
        <v>51</v>
      </c>
      <c r="E195">
        <v>16</v>
      </c>
      <c r="F195">
        <v>10</v>
      </c>
      <c r="G195">
        <v>1</v>
      </c>
      <c r="H195">
        <v>332000</v>
      </c>
    </row>
    <row r="196" spans="1:8" x14ac:dyDescent="0.3">
      <c r="A196" t="s">
        <v>51</v>
      </c>
      <c r="B196" t="s">
        <v>13</v>
      </c>
      <c r="C196">
        <v>69</v>
      </c>
      <c r="D196">
        <v>46</v>
      </c>
      <c r="E196">
        <v>13</v>
      </c>
      <c r="F196">
        <v>8</v>
      </c>
      <c r="G196">
        <v>3</v>
      </c>
      <c r="H196">
        <v>1338000</v>
      </c>
    </row>
    <row r="197" spans="1:8" x14ac:dyDescent="0.3">
      <c r="A197" t="s">
        <v>52</v>
      </c>
      <c r="B197" t="s">
        <v>9</v>
      </c>
      <c r="C197">
        <v>292</v>
      </c>
      <c r="D197">
        <v>130</v>
      </c>
      <c r="E197">
        <v>37</v>
      </c>
      <c r="F197">
        <v>24</v>
      </c>
      <c r="G197">
        <v>11</v>
      </c>
      <c r="H197">
        <v>6281000</v>
      </c>
    </row>
    <row r="198" spans="1:8" x14ac:dyDescent="0.3">
      <c r="A198" t="s">
        <v>52</v>
      </c>
      <c r="B198" t="s">
        <v>10</v>
      </c>
      <c r="C198">
        <v>263</v>
      </c>
      <c r="D198">
        <v>109</v>
      </c>
      <c r="E198">
        <v>34</v>
      </c>
      <c r="F198">
        <v>20</v>
      </c>
      <c r="G198">
        <v>8</v>
      </c>
      <c r="H198">
        <v>4224000</v>
      </c>
    </row>
    <row r="199" spans="1:8" x14ac:dyDescent="0.3">
      <c r="A199" t="s">
        <v>52</v>
      </c>
      <c r="B199" t="s">
        <v>11</v>
      </c>
      <c r="C199">
        <v>269</v>
      </c>
      <c r="D199">
        <v>75</v>
      </c>
      <c r="E199">
        <v>25</v>
      </c>
      <c r="F199">
        <v>15</v>
      </c>
      <c r="G199">
        <v>4</v>
      </c>
      <c r="H199">
        <v>2040000</v>
      </c>
    </row>
    <row r="200" spans="1:8" x14ac:dyDescent="0.3">
      <c r="A200" t="s">
        <v>52</v>
      </c>
      <c r="B200" t="s">
        <v>12</v>
      </c>
      <c r="C200">
        <v>94</v>
      </c>
      <c r="D200">
        <v>38</v>
      </c>
      <c r="E200">
        <v>13</v>
      </c>
      <c r="F200">
        <v>8</v>
      </c>
      <c r="G200">
        <v>1</v>
      </c>
      <c r="H200">
        <v>477000</v>
      </c>
    </row>
    <row r="201" spans="1:8" x14ac:dyDescent="0.3">
      <c r="A201" t="s">
        <v>52</v>
      </c>
      <c r="B201" t="s">
        <v>13</v>
      </c>
      <c r="C201">
        <v>100</v>
      </c>
      <c r="D201">
        <v>57</v>
      </c>
      <c r="E201">
        <v>19</v>
      </c>
      <c r="F201">
        <v>12</v>
      </c>
      <c r="G201">
        <v>4</v>
      </c>
      <c r="H201">
        <v>1468000</v>
      </c>
    </row>
    <row r="202" spans="1:8" x14ac:dyDescent="0.3">
      <c r="A202" t="s">
        <v>53</v>
      </c>
      <c r="B202" t="s">
        <v>9</v>
      </c>
      <c r="C202">
        <v>395</v>
      </c>
      <c r="D202">
        <v>174</v>
      </c>
      <c r="E202">
        <v>47</v>
      </c>
      <c r="F202">
        <v>27</v>
      </c>
      <c r="G202">
        <v>16</v>
      </c>
      <c r="H202">
        <v>5680000</v>
      </c>
    </row>
    <row r="203" spans="1:8" x14ac:dyDescent="0.3">
      <c r="A203" t="s">
        <v>53</v>
      </c>
      <c r="B203" t="s">
        <v>10</v>
      </c>
      <c r="C203">
        <v>248</v>
      </c>
      <c r="D203">
        <v>100</v>
      </c>
      <c r="E203">
        <v>32</v>
      </c>
      <c r="F203">
        <v>19</v>
      </c>
      <c r="G203">
        <v>8</v>
      </c>
      <c r="H203">
        <v>4368000</v>
      </c>
    </row>
    <row r="204" spans="1:8" x14ac:dyDescent="0.3">
      <c r="A204" t="s">
        <v>53</v>
      </c>
      <c r="B204" t="s">
        <v>11</v>
      </c>
      <c r="C204">
        <v>470</v>
      </c>
      <c r="D204">
        <v>135</v>
      </c>
      <c r="E204">
        <v>35</v>
      </c>
      <c r="F204">
        <v>19</v>
      </c>
      <c r="G204">
        <v>7</v>
      </c>
      <c r="H204">
        <v>3192000</v>
      </c>
    </row>
    <row r="205" spans="1:8" x14ac:dyDescent="0.3">
      <c r="A205" t="s">
        <v>53</v>
      </c>
      <c r="B205" t="s">
        <v>12</v>
      </c>
      <c r="C205">
        <v>134</v>
      </c>
      <c r="D205">
        <v>60</v>
      </c>
      <c r="E205">
        <v>19</v>
      </c>
      <c r="F205">
        <v>12</v>
      </c>
      <c r="G205">
        <v>1</v>
      </c>
      <c r="H205">
        <v>549000</v>
      </c>
    </row>
    <row r="206" spans="1:8" x14ac:dyDescent="0.3">
      <c r="A206" t="s">
        <v>53</v>
      </c>
      <c r="B206" t="s">
        <v>13</v>
      </c>
      <c r="C206">
        <v>119</v>
      </c>
      <c r="D206">
        <v>74</v>
      </c>
      <c r="E206">
        <v>21</v>
      </c>
      <c r="F206">
        <v>13</v>
      </c>
      <c r="G206">
        <v>6</v>
      </c>
      <c r="H206">
        <v>2520000</v>
      </c>
    </row>
    <row r="207" spans="1:8" x14ac:dyDescent="0.3">
      <c r="A207" t="s">
        <v>54</v>
      </c>
      <c r="B207" t="s">
        <v>9</v>
      </c>
      <c r="C207">
        <v>298</v>
      </c>
      <c r="D207">
        <v>130</v>
      </c>
      <c r="E207">
        <v>39</v>
      </c>
      <c r="F207">
        <v>22</v>
      </c>
      <c r="G207">
        <v>12</v>
      </c>
      <c r="H207">
        <v>5772000</v>
      </c>
    </row>
    <row r="208" spans="1:8" x14ac:dyDescent="0.3">
      <c r="A208" t="s">
        <v>54</v>
      </c>
      <c r="B208" t="s">
        <v>10</v>
      </c>
      <c r="C208">
        <v>276</v>
      </c>
      <c r="D208">
        <v>129</v>
      </c>
      <c r="E208">
        <v>38</v>
      </c>
      <c r="F208">
        <v>22</v>
      </c>
      <c r="G208">
        <v>8</v>
      </c>
      <c r="H208">
        <v>3384000</v>
      </c>
    </row>
    <row r="209" spans="1:8" x14ac:dyDescent="0.3">
      <c r="A209" t="s">
        <v>54</v>
      </c>
      <c r="B209" t="s">
        <v>11</v>
      </c>
      <c r="C209">
        <v>462</v>
      </c>
      <c r="D209">
        <v>117</v>
      </c>
      <c r="E209">
        <v>39</v>
      </c>
      <c r="F209">
        <v>22</v>
      </c>
      <c r="G209">
        <v>6</v>
      </c>
      <c r="H209">
        <v>3372000</v>
      </c>
    </row>
    <row r="210" spans="1:8" x14ac:dyDescent="0.3">
      <c r="A210" t="s">
        <v>54</v>
      </c>
      <c r="B210" t="s">
        <v>12</v>
      </c>
      <c r="C210">
        <v>126</v>
      </c>
      <c r="D210">
        <v>59</v>
      </c>
      <c r="E210">
        <v>16</v>
      </c>
      <c r="F210">
        <v>10</v>
      </c>
      <c r="G210">
        <v>2</v>
      </c>
      <c r="H210">
        <v>1124000</v>
      </c>
    </row>
    <row r="211" spans="1:8" x14ac:dyDescent="0.3">
      <c r="A211" t="s">
        <v>54</v>
      </c>
      <c r="B211" t="s">
        <v>13</v>
      </c>
      <c r="C211">
        <v>94</v>
      </c>
      <c r="D211">
        <v>63</v>
      </c>
      <c r="E211">
        <v>18</v>
      </c>
      <c r="F211">
        <v>10</v>
      </c>
      <c r="G211">
        <v>5</v>
      </c>
      <c r="H211">
        <v>2210000</v>
      </c>
    </row>
    <row r="212" spans="1:8" x14ac:dyDescent="0.3">
      <c r="A212" t="s">
        <v>55</v>
      </c>
      <c r="B212" t="s">
        <v>9</v>
      </c>
      <c r="C212">
        <v>292</v>
      </c>
      <c r="D212">
        <v>138</v>
      </c>
      <c r="E212">
        <v>41</v>
      </c>
      <c r="F212">
        <v>23</v>
      </c>
      <c r="G212">
        <v>12</v>
      </c>
      <c r="H212">
        <v>6672000</v>
      </c>
    </row>
    <row r="213" spans="1:8" x14ac:dyDescent="0.3">
      <c r="A213" t="s">
        <v>55</v>
      </c>
      <c r="B213" t="s">
        <v>10</v>
      </c>
      <c r="C213">
        <v>261</v>
      </c>
      <c r="D213">
        <v>114</v>
      </c>
      <c r="E213">
        <v>33</v>
      </c>
      <c r="F213">
        <v>21</v>
      </c>
      <c r="G213">
        <v>9</v>
      </c>
      <c r="H213">
        <v>3582000</v>
      </c>
    </row>
    <row r="214" spans="1:8" x14ac:dyDescent="0.3">
      <c r="A214" t="s">
        <v>55</v>
      </c>
      <c r="B214" t="s">
        <v>11</v>
      </c>
      <c r="C214">
        <v>369</v>
      </c>
      <c r="D214">
        <v>110</v>
      </c>
      <c r="E214">
        <v>35</v>
      </c>
      <c r="F214">
        <v>22</v>
      </c>
      <c r="G214">
        <v>6</v>
      </c>
      <c r="H214">
        <v>2928000</v>
      </c>
    </row>
    <row r="215" spans="1:8" x14ac:dyDescent="0.3">
      <c r="A215" t="s">
        <v>55</v>
      </c>
      <c r="B215" t="s">
        <v>12</v>
      </c>
      <c r="C215">
        <v>130</v>
      </c>
      <c r="D215">
        <v>59</v>
      </c>
      <c r="E215">
        <v>19</v>
      </c>
      <c r="F215">
        <v>12</v>
      </c>
      <c r="G215">
        <v>2</v>
      </c>
      <c r="H215">
        <v>926000</v>
      </c>
    </row>
    <row r="216" spans="1:8" x14ac:dyDescent="0.3">
      <c r="A216" t="s">
        <v>55</v>
      </c>
      <c r="B216" t="s">
        <v>13</v>
      </c>
      <c r="C216">
        <v>70</v>
      </c>
      <c r="D216">
        <v>46</v>
      </c>
      <c r="E216">
        <v>14</v>
      </c>
      <c r="F216">
        <v>9</v>
      </c>
      <c r="G216">
        <v>4</v>
      </c>
      <c r="H216">
        <v>1596000</v>
      </c>
    </row>
    <row r="217" spans="1:8" x14ac:dyDescent="0.3">
      <c r="A217" t="s">
        <v>56</v>
      </c>
      <c r="B217" t="s">
        <v>9</v>
      </c>
      <c r="C217">
        <v>247</v>
      </c>
      <c r="D217">
        <v>99</v>
      </c>
      <c r="E217">
        <v>27</v>
      </c>
      <c r="F217">
        <v>16</v>
      </c>
      <c r="G217">
        <v>10</v>
      </c>
      <c r="H217">
        <v>4080000</v>
      </c>
    </row>
    <row r="218" spans="1:8" x14ac:dyDescent="0.3">
      <c r="A218" t="s">
        <v>56</v>
      </c>
      <c r="B218" t="s">
        <v>10</v>
      </c>
      <c r="C218">
        <v>207</v>
      </c>
      <c r="D218">
        <v>100</v>
      </c>
      <c r="E218">
        <v>28</v>
      </c>
      <c r="F218">
        <v>18</v>
      </c>
      <c r="G218">
        <v>6</v>
      </c>
      <c r="H218">
        <v>2532000</v>
      </c>
    </row>
    <row r="219" spans="1:8" x14ac:dyDescent="0.3">
      <c r="A219" t="s">
        <v>56</v>
      </c>
      <c r="B219" t="s">
        <v>11</v>
      </c>
      <c r="C219">
        <v>308</v>
      </c>
      <c r="D219">
        <v>82</v>
      </c>
      <c r="E219">
        <v>24</v>
      </c>
      <c r="F219">
        <v>15</v>
      </c>
      <c r="G219">
        <v>5</v>
      </c>
      <c r="H219">
        <v>1860000</v>
      </c>
    </row>
    <row r="220" spans="1:8" x14ac:dyDescent="0.3">
      <c r="A220" t="s">
        <v>56</v>
      </c>
      <c r="B220" t="s">
        <v>12</v>
      </c>
      <c r="C220">
        <v>131</v>
      </c>
      <c r="D220">
        <v>61</v>
      </c>
      <c r="E220">
        <v>19</v>
      </c>
      <c r="F220">
        <v>11</v>
      </c>
      <c r="G220">
        <v>1</v>
      </c>
      <c r="H220">
        <v>409000</v>
      </c>
    </row>
    <row r="221" spans="1:8" x14ac:dyDescent="0.3">
      <c r="A221" t="s">
        <v>56</v>
      </c>
      <c r="B221" t="s">
        <v>13</v>
      </c>
      <c r="C221">
        <v>102</v>
      </c>
      <c r="D221">
        <v>68</v>
      </c>
      <c r="E221">
        <v>19</v>
      </c>
      <c r="F221">
        <v>12</v>
      </c>
      <c r="G221">
        <v>5</v>
      </c>
      <c r="H221">
        <v>2035000</v>
      </c>
    </row>
    <row r="222" spans="1:8" x14ac:dyDescent="0.3">
      <c r="A222" t="s">
        <v>57</v>
      </c>
      <c r="B222" t="s">
        <v>9</v>
      </c>
      <c r="C222">
        <v>270</v>
      </c>
      <c r="D222">
        <v>128</v>
      </c>
      <c r="E222">
        <v>36</v>
      </c>
      <c r="F222">
        <v>22</v>
      </c>
      <c r="G222">
        <v>10</v>
      </c>
      <c r="H222">
        <v>3390000</v>
      </c>
    </row>
    <row r="223" spans="1:8" x14ac:dyDescent="0.3">
      <c r="A223" t="s">
        <v>57</v>
      </c>
      <c r="B223" t="s">
        <v>10</v>
      </c>
      <c r="C223">
        <v>200</v>
      </c>
      <c r="D223">
        <v>91</v>
      </c>
      <c r="E223">
        <v>30</v>
      </c>
      <c r="F223">
        <v>18</v>
      </c>
      <c r="G223">
        <v>6</v>
      </c>
      <c r="H223">
        <v>2820000</v>
      </c>
    </row>
    <row r="224" spans="1:8" x14ac:dyDescent="0.3">
      <c r="A224" t="s">
        <v>57</v>
      </c>
      <c r="B224" t="s">
        <v>11</v>
      </c>
      <c r="C224">
        <v>376</v>
      </c>
      <c r="D224">
        <v>100</v>
      </c>
      <c r="E224">
        <v>30</v>
      </c>
      <c r="F224">
        <v>19</v>
      </c>
      <c r="G224">
        <v>5</v>
      </c>
      <c r="H224">
        <v>2670000</v>
      </c>
    </row>
    <row r="225" spans="1:8" x14ac:dyDescent="0.3">
      <c r="A225" t="s">
        <v>57</v>
      </c>
      <c r="B225" t="s">
        <v>12</v>
      </c>
      <c r="C225">
        <v>131</v>
      </c>
      <c r="D225">
        <v>56</v>
      </c>
      <c r="E225">
        <v>18</v>
      </c>
      <c r="F225">
        <v>10</v>
      </c>
      <c r="G225">
        <v>1</v>
      </c>
      <c r="H225">
        <v>447000</v>
      </c>
    </row>
    <row r="226" spans="1:8" x14ac:dyDescent="0.3">
      <c r="A226" t="s">
        <v>57</v>
      </c>
      <c r="B226" t="s">
        <v>13</v>
      </c>
      <c r="C226">
        <v>103</v>
      </c>
      <c r="D226">
        <v>59</v>
      </c>
      <c r="E226">
        <v>17</v>
      </c>
      <c r="F226">
        <v>11</v>
      </c>
      <c r="G226">
        <v>6</v>
      </c>
      <c r="H226">
        <v>1998000</v>
      </c>
    </row>
    <row r="227" spans="1:8" x14ac:dyDescent="0.3">
      <c r="A227" t="s">
        <v>58</v>
      </c>
      <c r="B227" t="s">
        <v>9</v>
      </c>
      <c r="C227">
        <v>267</v>
      </c>
      <c r="D227">
        <v>109</v>
      </c>
      <c r="E227">
        <v>36</v>
      </c>
      <c r="F227">
        <v>21</v>
      </c>
      <c r="G227">
        <v>11</v>
      </c>
      <c r="H227">
        <v>4730000</v>
      </c>
    </row>
    <row r="228" spans="1:8" x14ac:dyDescent="0.3">
      <c r="A228" t="s">
        <v>58</v>
      </c>
      <c r="B228" t="s">
        <v>10</v>
      </c>
      <c r="C228">
        <v>233</v>
      </c>
      <c r="D228">
        <v>100</v>
      </c>
      <c r="E228">
        <v>27</v>
      </c>
      <c r="F228">
        <v>17</v>
      </c>
      <c r="G228">
        <v>7</v>
      </c>
      <c r="H228">
        <v>4053000</v>
      </c>
    </row>
    <row r="229" spans="1:8" x14ac:dyDescent="0.3">
      <c r="A229" t="s">
        <v>58</v>
      </c>
      <c r="B229" t="s">
        <v>11</v>
      </c>
      <c r="C229">
        <v>350</v>
      </c>
      <c r="D229">
        <v>96</v>
      </c>
      <c r="E229">
        <v>30</v>
      </c>
      <c r="F229">
        <v>17</v>
      </c>
      <c r="G229">
        <v>5</v>
      </c>
      <c r="H229">
        <v>2255000</v>
      </c>
    </row>
    <row r="230" spans="1:8" x14ac:dyDescent="0.3">
      <c r="A230" t="s">
        <v>58</v>
      </c>
      <c r="B230" t="s">
        <v>12</v>
      </c>
      <c r="C230">
        <v>133</v>
      </c>
      <c r="D230">
        <v>59</v>
      </c>
      <c r="E230">
        <v>19</v>
      </c>
      <c r="F230">
        <v>11</v>
      </c>
      <c r="G230">
        <v>1</v>
      </c>
      <c r="H230">
        <v>457000</v>
      </c>
    </row>
    <row r="231" spans="1:8" x14ac:dyDescent="0.3">
      <c r="A231" t="s">
        <v>58</v>
      </c>
      <c r="B231" t="s">
        <v>13</v>
      </c>
      <c r="C231">
        <v>92</v>
      </c>
      <c r="D231">
        <v>53</v>
      </c>
      <c r="E231">
        <v>18</v>
      </c>
      <c r="F231">
        <v>11</v>
      </c>
      <c r="G231">
        <v>5</v>
      </c>
      <c r="H231">
        <v>2110000</v>
      </c>
    </row>
    <row r="232" spans="1:8" x14ac:dyDescent="0.3">
      <c r="A232" t="s">
        <v>59</v>
      </c>
      <c r="B232" t="s">
        <v>9</v>
      </c>
      <c r="C232">
        <v>272</v>
      </c>
      <c r="D232">
        <v>116</v>
      </c>
      <c r="E232">
        <v>35</v>
      </c>
      <c r="F232">
        <v>22</v>
      </c>
      <c r="G232">
        <v>9</v>
      </c>
      <c r="H232">
        <v>3960000</v>
      </c>
    </row>
    <row r="233" spans="1:8" x14ac:dyDescent="0.3">
      <c r="A233" t="s">
        <v>59</v>
      </c>
      <c r="B233" t="s">
        <v>10</v>
      </c>
      <c r="C233">
        <v>186</v>
      </c>
      <c r="D233">
        <v>83</v>
      </c>
      <c r="E233">
        <v>22</v>
      </c>
      <c r="F233">
        <v>13</v>
      </c>
      <c r="G233">
        <v>6</v>
      </c>
      <c r="H233">
        <v>2778000</v>
      </c>
    </row>
    <row r="234" spans="1:8" x14ac:dyDescent="0.3">
      <c r="A234" t="s">
        <v>59</v>
      </c>
      <c r="B234" t="s">
        <v>11</v>
      </c>
      <c r="C234">
        <v>387</v>
      </c>
      <c r="D234">
        <v>111</v>
      </c>
      <c r="E234">
        <v>33</v>
      </c>
      <c r="F234">
        <v>19</v>
      </c>
      <c r="G234">
        <v>6</v>
      </c>
      <c r="H234">
        <v>2250000</v>
      </c>
    </row>
    <row r="235" spans="1:8" x14ac:dyDescent="0.3">
      <c r="A235" t="s">
        <v>59</v>
      </c>
      <c r="B235" t="s">
        <v>12</v>
      </c>
      <c r="C235">
        <v>102</v>
      </c>
      <c r="D235">
        <v>46</v>
      </c>
      <c r="E235">
        <v>15</v>
      </c>
      <c r="F235">
        <v>9</v>
      </c>
      <c r="G235">
        <v>1</v>
      </c>
      <c r="H235">
        <v>580000</v>
      </c>
    </row>
    <row r="236" spans="1:8" x14ac:dyDescent="0.3">
      <c r="A236" t="s">
        <v>59</v>
      </c>
      <c r="B236" t="s">
        <v>13</v>
      </c>
      <c r="C236">
        <v>88</v>
      </c>
      <c r="D236">
        <v>50</v>
      </c>
      <c r="E236">
        <v>14</v>
      </c>
      <c r="F236">
        <v>8</v>
      </c>
      <c r="G236">
        <v>5</v>
      </c>
      <c r="H236">
        <v>2565000</v>
      </c>
    </row>
    <row r="237" spans="1:8" x14ac:dyDescent="0.3">
      <c r="A237" t="s">
        <v>60</v>
      </c>
      <c r="B237" t="s">
        <v>9</v>
      </c>
      <c r="C237">
        <v>308</v>
      </c>
      <c r="D237">
        <v>128</v>
      </c>
      <c r="E237">
        <v>38</v>
      </c>
      <c r="F237">
        <v>21</v>
      </c>
      <c r="G237">
        <v>13</v>
      </c>
      <c r="H237">
        <v>7358000</v>
      </c>
    </row>
    <row r="238" spans="1:8" x14ac:dyDescent="0.3">
      <c r="A238" t="s">
        <v>60</v>
      </c>
      <c r="B238" t="s">
        <v>10</v>
      </c>
      <c r="C238">
        <v>281</v>
      </c>
      <c r="D238">
        <v>131</v>
      </c>
      <c r="E238">
        <v>40</v>
      </c>
      <c r="F238">
        <v>23</v>
      </c>
      <c r="G238">
        <v>9</v>
      </c>
      <c r="H238">
        <v>3591000</v>
      </c>
    </row>
    <row r="239" spans="1:8" x14ac:dyDescent="0.3">
      <c r="A239" t="s">
        <v>60</v>
      </c>
      <c r="B239" t="s">
        <v>11</v>
      </c>
      <c r="C239">
        <v>470</v>
      </c>
      <c r="D239">
        <v>128</v>
      </c>
      <c r="E239">
        <v>43</v>
      </c>
      <c r="F239">
        <v>24</v>
      </c>
      <c r="G239">
        <v>6</v>
      </c>
      <c r="H239">
        <v>2868000</v>
      </c>
    </row>
    <row r="240" spans="1:8" x14ac:dyDescent="0.3">
      <c r="A240" t="s">
        <v>60</v>
      </c>
      <c r="B240" t="s">
        <v>12</v>
      </c>
      <c r="C240">
        <v>160</v>
      </c>
      <c r="D240">
        <v>74</v>
      </c>
      <c r="E240">
        <v>23</v>
      </c>
      <c r="F240">
        <v>13</v>
      </c>
      <c r="G240">
        <v>2</v>
      </c>
      <c r="H240">
        <v>688000</v>
      </c>
    </row>
    <row r="241" spans="1:8" x14ac:dyDescent="0.3">
      <c r="A241" t="s">
        <v>60</v>
      </c>
      <c r="B241" t="s">
        <v>13</v>
      </c>
      <c r="C241">
        <v>113</v>
      </c>
      <c r="D241">
        <v>71</v>
      </c>
      <c r="E241">
        <v>24</v>
      </c>
      <c r="F241">
        <v>15</v>
      </c>
      <c r="G241">
        <v>7</v>
      </c>
      <c r="H241">
        <v>3213000</v>
      </c>
    </row>
    <row r="242" spans="1:8" x14ac:dyDescent="0.3">
      <c r="A242" t="s">
        <v>61</v>
      </c>
      <c r="B242" t="s">
        <v>9</v>
      </c>
      <c r="C242">
        <v>336</v>
      </c>
      <c r="D242">
        <v>158</v>
      </c>
      <c r="E242">
        <v>49</v>
      </c>
      <c r="F242">
        <v>30</v>
      </c>
      <c r="G242">
        <v>11</v>
      </c>
      <c r="H242">
        <v>3531000</v>
      </c>
    </row>
    <row r="243" spans="1:8" x14ac:dyDescent="0.3">
      <c r="A243" t="s">
        <v>61</v>
      </c>
      <c r="B243" t="s">
        <v>10</v>
      </c>
      <c r="C243">
        <v>263</v>
      </c>
      <c r="D243">
        <v>112</v>
      </c>
      <c r="E243">
        <v>31</v>
      </c>
      <c r="F243">
        <v>19</v>
      </c>
      <c r="G243">
        <v>7</v>
      </c>
      <c r="H243">
        <v>3318000</v>
      </c>
    </row>
    <row r="244" spans="1:8" x14ac:dyDescent="0.3">
      <c r="A244" t="s">
        <v>61</v>
      </c>
      <c r="B244" t="s">
        <v>11</v>
      </c>
      <c r="C244">
        <v>469</v>
      </c>
      <c r="D244">
        <v>135</v>
      </c>
      <c r="E244">
        <v>39</v>
      </c>
      <c r="F244">
        <v>23</v>
      </c>
      <c r="G244">
        <v>7</v>
      </c>
      <c r="H244">
        <v>3024000</v>
      </c>
    </row>
    <row r="245" spans="1:8" x14ac:dyDescent="0.3">
      <c r="A245" t="s">
        <v>61</v>
      </c>
      <c r="B245" t="s">
        <v>12</v>
      </c>
      <c r="C245">
        <v>132</v>
      </c>
      <c r="D245">
        <v>60</v>
      </c>
      <c r="E245">
        <v>17</v>
      </c>
      <c r="F245">
        <v>11</v>
      </c>
      <c r="G245">
        <v>2</v>
      </c>
      <c r="H245">
        <v>942000</v>
      </c>
    </row>
    <row r="246" spans="1:8" x14ac:dyDescent="0.3">
      <c r="A246" t="s">
        <v>61</v>
      </c>
      <c r="B246" t="s">
        <v>13</v>
      </c>
      <c r="C246">
        <v>117</v>
      </c>
      <c r="D246">
        <v>66</v>
      </c>
      <c r="E246">
        <v>21</v>
      </c>
      <c r="F246">
        <v>12</v>
      </c>
      <c r="G246">
        <v>5</v>
      </c>
      <c r="H246">
        <v>2330000</v>
      </c>
    </row>
    <row r="247" spans="1:8" x14ac:dyDescent="0.3">
      <c r="A247" t="s">
        <v>62</v>
      </c>
      <c r="B247" t="s">
        <v>9</v>
      </c>
      <c r="C247">
        <v>260</v>
      </c>
      <c r="D247">
        <v>112</v>
      </c>
      <c r="E247">
        <v>38</v>
      </c>
      <c r="F247">
        <v>22</v>
      </c>
      <c r="G247">
        <v>9</v>
      </c>
      <c r="H247">
        <v>4554000</v>
      </c>
    </row>
    <row r="248" spans="1:8" x14ac:dyDescent="0.3">
      <c r="A248" t="s">
        <v>62</v>
      </c>
      <c r="B248" t="s">
        <v>10</v>
      </c>
      <c r="C248">
        <v>241</v>
      </c>
      <c r="D248">
        <v>112</v>
      </c>
      <c r="E248">
        <v>34</v>
      </c>
      <c r="F248">
        <v>19</v>
      </c>
      <c r="G248">
        <v>8</v>
      </c>
      <c r="H248">
        <v>2928000</v>
      </c>
    </row>
    <row r="249" spans="1:8" x14ac:dyDescent="0.3">
      <c r="A249" t="s">
        <v>62</v>
      </c>
      <c r="B249" t="s">
        <v>11</v>
      </c>
      <c r="C249">
        <v>300</v>
      </c>
      <c r="D249">
        <v>76</v>
      </c>
      <c r="E249">
        <v>24</v>
      </c>
      <c r="F249">
        <v>14</v>
      </c>
      <c r="G249">
        <v>4</v>
      </c>
      <c r="H249">
        <v>2200000</v>
      </c>
    </row>
    <row r="250" spans="1:8" x14ac:dyDescent="0.3">
      <c r="A250" t="s">
        <v>62</v>
      </c>
      <c r="B250" t="s">
        <v>12</v>
      </c>
      <c r="C250">
        <v>124</v>
      </c>
      <c r="D250">
        <v>52</v>
      </c>
      <c r="E250">
        <v>15</v>
      </c>
      <c r="F250">
        <v>9</v>
      </c>
      <c r="G250">
        <v>1</v>
      </c>
      <c r="H250">
        <v>486000</v>
      </c>
    </row>
    <row r="251" spans="1:8" x14ac:dyDescent="0.3">
      <c r="A251" t="s">
        <v>62</v>
      </c>
      <c r="B251" t="s">
        <v>13</v>
      </c>
      <c r="C251">
        <v>84</v>
      </c>
      <c r="D251">
        <v>49</v>
      </c>
      <c r="E251">
        <v>15</v>
      </c>
      <c r="F251">
        <v>9</v>
      </c>
      <c r="G251">
        <v>5</v>
      </c>
      <c r="H251">
        <v>2145000</v>
      </c>
    </row>
    <row r="252" spans="1:8" x14ac:dyDescent="0.3">
      <c r="A252" t="s">
        <v>63</v>
      </c>
      <c r="B252" t="s">
        <v>9</v>
      </c>
      <c r="C252">
        <v>234</v>
      </c>
      <c r="D252">
        <v>110</v>
      </c>
      <c r="E252">
        <v>29</v>
      </c>
      <c r="F252">
        <v>19</v>
      </c>
      <c r="G252">
        <v>9</v>
      </c>
      <c r="H252">
        <v>4500000</v>
      </c>
    </row>
    <row r="253" spans="1:8" x14ac:dyDescent="0.3">
      <c r="A253" t="s">
        <v>63</v>
      </c>
      <c r="B253" t="s">
        <v>10</v>
      </c>
      <c r="C253">
        <v>210</v>
      </c>
      <c r="D253">
        <v>84</v>
      </c>
      <c r="E253">
        <v>24</v>
      </c>
      <c r="F253">
        <v>14</v>
      </c>
      <c r="G253">
        <v>6</v>
      </c>
      <c r="H253">
        <v>1974000</v>
      </c>
    </row>
    <row r="254" spans="1:8" x14ac:dyDescent="0.3">
      <c r="A254" t="s">
        <v>63</v>
      </c>
      <c r="B254" t="s">
        <v>11</v>
      </c>
      <c r="C254">
        <v>286</v>
      </c>
      <c r="D254">
        <v>86</v>
      </c>
      <c r="E254">
        <v>28</v>
      </c>
      <c r="F254">
        <v>17</v>
      </c>
      <c r="G254">
        <v>4</v>
      </c>
      <c r="H254">
        <v>1644000</v>
      </c>
    </row>
    <row r="255" spans="1:8" x14ac:dyDescent="0.3">
      <c r="A255" t="s">
        <v>63</v>
      </c>
      <c r="B255" t="s">
        <v>12</v>
      </c>
      <c r="C255">
        <v>103</v>
      </c>
      <c r="D255">
        <v>50</v>
      </c>
      <c r="E255">
        <v>16</v>
      </c>
      <c r="F255">
        <v>9</v>
      </c>
      <c r="G255">
        <v>1</v>
      </c>
      <c r="H255">
        <v>491000</v>
      </c>
    </row>
    <row r="256" spans="1:8" x14ac:dyDescent="0.3">
      <c r="A256" t="s">
        <v>63</v>
      </c>
      <c r="B256" t="s">
        <v>13</v>
      </c>
      <c r="C256">
        <v>73</v>
      </c>
      <c r="D256">
        <v>43</v>
      </c>
      <c r="E256">
        <v>12</v>
      </c>
      <c r="F256">
        <v>8</v>
      </c>
      <c r="G256">
        <v>3</v>
      </c>
      <c r="H256">
        <v>1389000</v>
      </c>
    </row>
    <row r="257" spans="1:8" x14ac:dyDescent="0.3">
      <c r="A257" t="s">
        <v>64</v>
      </c>
      <c r="B257" t="s">
        <v>9</v>
      </c>
      <c r="C257">
        <v>268</v>
      </c>
      <c r="D257">
        <v>124</v>
      </c>
      <c r="E257">
        <v>39</v>
      </c>
      <c r="F257">
        <v>24</v>
      </c>
      <c r="G257">
        <v>11</v>
      </c>
      <c r="H257">
        <v>5280000</v>
      </c>
    </row>
    <row r="258" spans="1:8" x14ac:dyDescent="0.3">
      <c r="A258" t="s">
        <v>64</v>
      </c>
      <c r="B258" t="s">
        <v>10</v>
      </c>
      <c r="C258">
        <v>278</v>
      </c>
      <c r="D258">
        <v>132</v>
      </c>
      <c r="E258">
        <v>43</v>
      </c>
      <c r="F258">
        <v>27</v>
      </c>
      <c r="G258">
        <v>8</v>
      </c>
      <c r="H258">
        <v>3712000</v>
      </c>
    </row>
    <row r="259" spans="1:8" x14ac:dyDescent="0.3">
      <c r="A259" t="s">
        <v>64</v>
      </c>
      <c r="B259" t="s">
        <v>11</v>
      </c>
      <c r="C259">
        <v>347</v>
      </c>
      <c r="D259">
        <v>101</v>
      </c>
      <c r="E259">
        <v>34</v>
      </c>
      <c r="F259">
        <v>22</v>
      </c>
      <c r="G259">
        <v>5</v>
      </c>
      <c r="H259">
        <v>1745000</v>
      </c>
    </row>
    <row r="260" spans="1:8" x14ac:dyDescent="0.3">
      <c r="A260" t="s">
        <v>64</v>
      </c>
      <c r="B260" t="s">
        <v>12</v>
      </c>
      <c r="C260">
        <v>125</v>
      </c>
      <c r="D260">
        <v>51</v>
      </c>
      <c r="E260">
        <v>15</v>
      </c>
      <c r="F260">
        <v>9</v>
      </c>
      <c r="G260">
        <v>1</v>
      </c>
      <c r="H260">
        <v>471000</v>
      </c>
    </row>
    <row r="261" spans="1:8" x14ac:dyDescent="0.3">
      <c r="A261" t="s">
        <v>64</v>
      </c>
      <c r="B261" t="s">
        <v>13</v>
      </c>
      <c r="C261">
        <v>96</v>
      </c>
      <c r="D261">
        <v>56</v>
      </c>
      <c r="E261">
        <v>16</v>
      </c>
      <c r="F261">
        <v>10</v>
      </c>
      <c r="G261">
        <v>5</v>
      </c>
      <c r="H261">
        <v>2875000</v>
      </c>
    </row>
    <row r="262" spans="1:8" x14ac:dyDescent="0.3">
      <c r="A262" t="s">
        <v>65</v>
      </c>
      <c r="B262" t="s">
        <v>9</v>
      </c>
      <c r="C262">
        <v>310</v>
      </c>
      <c r="D262">
        <v>144</v>
      </c>
      <c r="E262">
        <v>49</v>
      </c>
      <c r="F262">
        <v>28</v>
      </c>
      <c r="G262">
        <v>12</v>
      </c>
      <c r="H262">
        <v>5400000</v>
      </c>
    </row>
    <row r="263" spans="1:8" x14ac:dyDescent="0.3">
      <c r="A263" t="s">
        <v>65</v>
      </c>
      <c r="B263" t="s">
        <v>10</v>
      </c>
      <c r="C263">
        <v>204</v>
      </c>
      <c r="D263">
        <v>84</v>
      </c>
      <c r="E263">
        <v>28</v>
      </c>
      <c r="F263">
        <v>17</v>
      </c>
      <c r="G263">
        <v>6</v>
      </c>
      <c r="H263">
        <v>2238000</v>
      </c>
    </row>
    <row r="264" spans="1:8" x14ac:dyDescent="0.3">
      <c r="A264" t="s">
        <v>65</v>
      </c>
      <c r="B264" t="s">
        <v>11</v>
      </c>
      <c r="C264">
        <v>384</v>
      </c>
      <c r="D264">
        <v>99</v>
      </c>
      <c r="E264">
        <v>29</v>
      </c>
      <c r="F264">
        <v>17</v>
      </c>
      <c r="G264">
        <v>5</v>
      </c>
      <c r="H264">
        <v>2505000</v>
      </c>
    </row>
    <row r="265" spans="1:8" x14ac:dyDescent="0.3">
      <c r="A265" t="s">
        <v>65</v>
      </c>
      <c r="B265" t="s">
        <v>12</v>
      </c>
      <c r="C265">
        <v>99</v>
      </c>
      <c r="D265">
        <v>42</v>
      </c>
      <c r="E265">
        <v>13</v>
      </c>
      <c r="F265">
        <v>7</v>
      </c>
      <c r="G265">
        <v>1</v>
      </c>
      <c r="H265">
        <v>438000</v>
      </c>
    </row>
    <row r="266" spans="1:8" x14ac:dyDescent="0.3">
      <c r="A266" t="s">
        <v>65</v>
      </c>
      <c r="B266" t="s">
        <v>13</v>
      </c>
      <c r="C266">
        <v>78</v>
      </c>
      <c r="D266">
        <v>48</v>
      </c>
      <c r="E266">
        <v>13</v>
      </c>
      <c r="F266">
        <v>8</v>
      </c>
      <c r="G266">
        <v>5</v>
      </c>
      <c r="H266">
        <v>2610000</v>
      </c>
    </row>
    <row r="267" spans="1:8" x14ac:dyDescent="0.3">
      <c r="A267" t="s">
        <v>66</v>
      </c>
      <c r="B267" t="s">
        <v>9</v>
      </c>
      <c r="C267">
        <v>332</v>
      </c>
      <c r="D267">
        <v>144</v>
      </c>
      <c r="E267">
        <v>41</v>
      </c>
      <c r="F267">
        <v>23</v>
      </c>
      <c r="G267">
        <v>13</v>
      </c>
      <c r="H267">
        <v>5278000</v>
      </c>
    </row>
    <row r="268" spans="1:8" x14ac:dyDescent="0.3">
      <c r="A268" t="s">
        <v>66</v>
      </c>
      <c r="B268" t="s">
        <v>10</v>
      </c>
      <c r="C268">
        <v>221</v>
      </c>
      <c r="D268">
        <v>92</v>
      </c>
      <c r="E268">
        <v>25</v>
      </c>
      <c r="F268">
        <v>16</v>
      </c>
      <c r="G268">
        <v>8</v>
      </c>
      <c r="H268">
        <v>3712000</v>
      </c>
    </row>
    <row r="269" spans="1:8" x14ac:dyDescent="0.3">
      <c r="A269" t="s">
        <v>66</v>
      </c>
      <c r="B269" t="s">
        <v>11</v>
      </c>
      <c r="C269">
        <v>327</v>
      </c>
      <c r="D269">
        <v>86</v>
      </c>
      <c r="E269">
        <v>28</v>
      </c>
      <c r="F269">
        <v>15</v>
      </c>
      <c r="G269">
        <v>4</v>
      </c>
      <c r="H269">
        <v>1852000</v>
      </c>
    </row>
    <row r="270" spans="1:8" x14ac:dyDescent="0.3">
      <c r="A270" t="s">
        <v>66</v>
      </c>
      <c r="B270" t="s">
        <v>12</v>
      </c>
      <c r="C270">
        <v>116</v>
      </c>
      <c r="D270">
        <v>54</v>
      </c>
      <c r="E270">
        <v>18</v>
      </c>
      <c r="F270">
        <v>10</v>
      </c>
      <c r="G270">
        <v>1</v>
      </c>
      <c r="H270">
        <v>440000</v>
      </c>
    </row>
    <row r="271" spans="1:8" x14ac:dyDescent="0.3">
      <c r="A271" t="s">
        <v>66</v>
      </c>
      <c r="B271" t="s">
        <v>13</v>
      </c>
      <c r="C271">
        <v>108</v>
      </c>
      <c r="D271">
        <v>65</v>
      </c>
      <c r="E271">
        <v>20</v>
      </c>
      <c r="F271">
        <v>12</v>
      </c>
      <c r="G271">
        <v>6</v>
      </c>
      <c r="H271">
        <v>3234000</v>
      </c>
    </row>
    <row r="272" spans="1:8" x14ac:dyDescent="0.3">
      <c r="A272" t="s">
        <v>67</v>
      </c>
      <c r="B272" t="s">
        <v>9</v>
      </c>
      <c r="C272">
        <v>343</v>
      </c>
      <c r="D272">
        <v>164</v>
      </c>
      <c r="E272">
        <v>54</v>
      </c>
      <c r="F272">
        <v>35</v>
      </c>
      <c r="G272">
        <v>13</v>
      </c>
      <c r="H272">
        <v>4680000</v>
      </c>
    </row>
    <row r="273" spans="1:8" x14ac:dyDescent="0.3">
      <c r="A273" t="s">
        <v>67</v>
      </c>
      <c r="B273" t="s">
        <v>10</v>
      </c>
      <c r="C273">
        <v>352</v>
      </c>
      <c r="D273">
        <v>148</v>
      </c>
      <c r="E273">
        <v>42</v>
      </c>
      <c r="F273">
        <v>27</v>
      </c>
      <c r="G273">
        <v>11</v>
      </c>
      <c r="H273">
        <v>5764000</v>
      </c>
    </row>
    <row r="274" spans="1:8" x14ac:dyDescent="0.3">
      <c r="A274" t="s">
        <v>67</v>
      </c>
      <c r="B274" t="s">
        <v>11</v>
      </c>
      <c r="C274">
        <v>486</v>
      </c>
      <c r="D274">
        <v>146</v>
      </c>
      <c r="E274">
        <v>49</v>
      </c>
      <c r="F274">
        <v>27</v>
      </c>
      <c r="G274">
        <v>7</v>
      </c>
      <c r="H274">
        <v>3129000</v>
      </c>
    </row>
    <row r="275" spans="1:8" x14ac:dyDescent="0.3">
      <c r="A275" t="s">
        <v>67</v>
      </c>
      <c r="B275" t="s">
        <v>12</v>
      </c>
      <c r="C275">
        <v>162</v>
      </c>
      <c r="D275">
        <v>77</v>
      </c>
      <c r="E275">
        <v>20</v>
      </c>
      <c r="F275">
        <v>12</v>
      </c>
      <c r="G275">
        <v>2</v>
      </c>
      <c r="H275">
        <v>1098000</v>
      </c>
    </row>
    <row r="276" spans="1:8" x14ac:dyDescent="0.3">
      <c r="A276" t="s">
        <v>67</v>
      </c>
      <c r="B276" t="s">
        <v>13</v>
      </c>
      <c r="C276">
        <v>99</v>
      </c>
      <c r="D276">
        <v>67</v>
      </c>
      <c r="E276">
        <v>18</v>
      </c>
      <c r="F276">
        <v>10</v>
      </c>
      <c r="G276">
        <v>5</v>
      </c>
      <c r="H276">
        <v>2880000</v>
      </c>
    </row>
    <row r="277" spans="1:8" x14ac:dyDescent="0.3">
      <c r="A277" t="s">
        <v>68</v>
      </c>
      <c r="B277" t="s">
        <v>9</v>
      </c>
      <c r="C277">
        <v>295</v>
      </c>
      <c r="D277">
        <v>120</v>
      </c>
      <c r="E277">
        <v>36</v>
      </c>
      <c r="F277">
        <v>20</v>
      </c>
      <c r="G277">
        <v>10</v>
      </c>
      <c r="H277">
        <v>4510000</v>
      </c>
    </row>
    <row r="278" spans="1:8" x14ac:dyDescent="0.3">
      <c r="A278" t="s">
        <v>68</v>
      </c>
      <c r="B278" t="s">
        <v>10</v>
      </c>
      <c r="C278">
        <v>302</v>
      </c>
      <c r="D278">
        <v>122</v>
      </c>
      <c r="E278">
        <v>32</v>
      </c>
      <c r="F278">
        <v>20</v>
      </c>
      <c r="G278">
        <v>8</v>
      </c>
      <c r="H278">
        <v>4208000</v>
      </c>
    </row>
    <row r="279" spans="1:8" x14ac:dyDescent="0.3">
      <c r="A279" t="s">
        <v>68</v>
      </c>
      <c r="B279" t="s">
        <v>11</v>
      </c>
      <c r="C279">
        <v>396</v>
      </c>
      <c r="D279">
        <v>118</v>
      </c>
      <c r="E279">
        <v>34</v>
      </c>
      <c r="F279">
        <v>19</v>
      </c>
      <c r="G279">
        <v>5</v>
      </c>
      <c r="H279">
        <v>2670000</v>
      </c>
    </row>
    <row r="280" spans="1:8" x14ac:dyDescent="0.3">
      <c r="A280" t="s">
        <v>68</v>
      </c>
      <c r="B280" t="s">
        <v>12</v>
      </c>
      <c r="C280">
        <v>178</v>
      </c>
      <c r="D280">
        <v>79</v>
      </c>
      <c r="E280">
        <v>24</v>
      </c>
      <c r="F280">
        <v>15</v>
      </c>
      <c r="G280">
        <v>2</v>
      </c>
      <c r="H280">
        <v>1002000</v>
      </c>
    </row>
    <row r="281" spans="1:8" x14ac:dyDescent="0.3">
      <c r="A281" t="s">
        <v>68</v>
      </c>
      <c r="B281" t="s">
        <v>13</v>
      </c>
      <c r="C281">
        <v>118</v>
      </c>
      <c r="D281">
        <v>77</v>
      </c>
      <c r="E281">
        <v>25</v>
      </c>
      <c r="F281">
        <v>16</v>
      </c>
      <c r="G281">
        <v>6</v>
      </c>
      <c r="H281">
        <v>3306000</v>
      </c>
    </row>
    <row r="282" spans="1:8" x14ac:dyDescent="0.3">
      <c r="A282" t="s">
        <v>69</v>
      </c>
      <c r="B282" t="s">
        <v>9</v>
      </c>
      <c r="C282">
        <v>320</v>
      </c>
      <c r="D282">
        <v>131</v>
      </c>
      <c r="E282">
        <v>38</v>
      </c>
      <c r="F282">
        <v>24</v>
      </c>
      <c r="G282">
        <v>12</v>
      </c>
      <c r="H282">
        <v>6600000</v>
      </c>
    </row>
    <row r="283" spans="1:8" x14ac:dyDescent="0.3">
      <c r="A283" t="s">
        <v>69</v>
      </c>
      <c r="B283" t="s">
        <v>10</v>
      </c>
      <c r="C283">
        <v>203</v>
      </c>
      <c r="D283">
        <v>98</v>
      </c>
      <c r="E283">
        <v>32</v>
      </c>
      <c r="F283">
        <v>18</v>
      </c>
      <c r="G283">
        <v>5</v>
      </c>
      <c r="H283">
        <v>2215000</v>
      </c>
    </row>
    <row r="284" spans="1:8" x14ac:dyDescent="0.3">
      <c r="A284" t="s">
        <v>69</v>
      </c>
      <c r="B284" t="s">
        <v>11</v>
      </c>
      <c r="C284">
        <v>344</v>
      </c>
      <c r="D284">
        <v>91</v>
      </c>
      <c r="E284">
        <v>30</v>
      </c>
      <c r="F284">
        <v>19</v>
      </c>
      <c r="G284">
        <v>4</v>
      </c>
      <c r="H284">
        <v>2188000</v>
      </c>
    </row>
    <row r="285" spans="1:8" x14ac:dyDescent="0.3">
      <c r="A285" t="s">
        <v>69</v>
      </c>
      <c r="B285" t="s">
        <v>12</v>
      </c>
      <c r="C285">
        <v>138</v>
      </c>
      <c r="D285">
        <v>59</v>
      </c>
      <c r="E285">
        <v>16</v>
      </c>
      <c r="F285">
        <v>10</v>
      </c>
      <c r="G285">
        <v>1</v>
      </c>
      <c r="H285">
        <v>356000</v>
      </c>
    </row>
    <row r="286" spans="1:8" x14ac:dyDescent="0.3">
      <c r="A286" t="s">
        <v>69</v>
      </c>
      <c r="B286" t="s">
        <v>13</v>
      </c>
      <c r="C286">
        <v>103</v>
      </c>
      <c r="D286">
        <v>58</v>
      </c>
      <c r="E286">
        <v>16</v>
      </c>
      <c r="F286">
        <v>9</v>
      </c>
      <c r="G286">
        <v>5</v>
      </c>
      <c r="H286">
        <v>2290000</v>
      </c>
    </row>
    <row r="287" spans="1:8" x14ac:dyDescent="0.3">
      <c r="A287" t="s">
        <v>70</v>
      </c>
      <c r="B287" t="s">
        <v>9</v>
      </c>
      <c r="C287">
        <v>340</v>
      </c>
      <c r="D287">
        <v>164</v>
      </c>
      <c r="E287">
        <v>43</v>
      </c>
      <c r="F287">
        <v>26</v>
      </c>
      <c r="G287">
        <v>14</v>
      </c>
      <c r="H287">
        <v>7532000</v>
      </c>
    </row>
    <row r="288" spans="1:8" x14ac:dyDescent="0.3">
      <c r="A288" t="s">
        <v>70</v>
      </c>
      <c r="B288" t="s">
        <v>10</v>
      </c>
      <c r="C288">
        <v>270</v>
      </c>
      <c r="D288">
        <v>117</v>
      </c>
      <c r="E288">
        <v>32</v>
      </c>
      <c r="F288">
        <v>18</v>
      </c>
      <c r="G288">
        <v>9</v>
      </c>
      <c r="H288">
        <v>4077000</v>
      </c>
    </row>
    <row r="289" spans="1:8" x14ac:dyDescent="0.3">
      <c r="A289" t="s">
        <v>70</v>
      </c>
      <c r="B289" t="s">
        <v>11</v>
      </c>
      <c r="C289">
        <v>336</v>
      </c>
      <c r="D289">
        <v>102</v>
      </c>
      <c r="E289">
        <v>27</v>
      </c>
      <c r="F289">
        <v>15</v>
      </c>
      <c r="G289">
        <v>5</v>
      </c>
      <c r="H289">
        <v>2005000</v>
      </c>
    </row>
    <row r="290" spans="1:8" x14ac:dyDescent="0.3">
      <c r="A290" t="s">
        <v>70</v>
      </c>
      <c r="B290" t="s">
        <v>12</v>
      </c>
      <c r="C290">
        <v>144</v>
      </c>
      <c r="D290">
        <v>64</v>
      </c>
      <c r="E290">
        <v>21</v>
      </c>
      <c r="F290">
        <v>12</v>
      </c>
      <c r="G290">
        <v>2</v>
      </c>
      <c r="H290">
        <v>1116000</v>
      </c>
    </row>
    <row r="291" spans="1:8" x14ac:dyDescent="0.3">
      <c r="A291" t="s">
        <v>70</v>
      </c>
      <c r="B291" t="s">
        <v>13</v>
      </c>
      <c r="C291">
        <v>107</v>
      </c>
      <c r="D291">
        <v>69</v>
      </c>
      <c r="E291">
        <v>19</v>
      </c>
      <c r="F291">
        <v>12</v>
      </c>
      <c r="G291">
        <v>5</v>
      </c>
      <c r="H291">
        <v>2060000</v>
      </c>
    </row>
    <row r="292" spans="1:8" x14ac:dyDescent="0.3">
      <c r="A292" t="s">
        <v>71</v>
      </c>
      <c r="B292" t="s">
        <v>9</v>
      </c>
      <c r="C292">
        <v>258</v>
      </c>
      <c r="D292">
        <v>123</v>
      </c>
      <c r="E292">
        <v>38</v>
      </c>
      <c r="F292">
        <v>24</v>
      </c>
      <c r="G292">
        <v>10</v>
      </c>
      <c r="H292">
        <v>4680000</v>
      </c>
    </row>
    <row r="293" spans="1:8" x14ac:dyDescent="0.3">
      <c r="A293" t="s">
        <v>71</v>
      </c>
      <c r="B293" t="s">
        <v>10</v>
      </c>
      <c r="C293">
        <v>289</v>
      </c>
      <c r="D293">
        <v>121</v>
      </c>
      <c r="E293">
        <v>35</v>
      </c>
      <c r="F293">
        <v>21</v>
      </c>
      <c r="G293">
        <v>10</v>
      </c>
      <c r="H293">
        <v>4930000</v>
      </c>
    </row>
    <row r="294" spans="1:8" x14ac:dyDescent="0.3">
      <c r="A294" t="s">
        <v>71</v>
      </c>
      <c r="B294" t="s">
        <v>11</v>
      </c>
      <c r="C294">
        <v>318</v>
      </c>
      <c r="D294">
        <v>84</v>
      </c>
      <c r="E294">
        <v>28</v>
      </c>
      <c r="F294">
        <v>18</v>
      </c>
      <c r="G294">
        <v>5</v>
      </c>
      <c r="H294">
        <v>1805000</v>
      </c>
    </row>
    <row r="295" spans="1:8" x14ac:dyDescent="0.3">
      <c r="A295" t="s">
        <v>71</v>
      </c>
      <c r="B295" t="s">
        <v>12</v>
      </c>
      <c r="C295">
        <v>140</v>
      </c>
      <c r="D295">
        <v>57</v>
      </c>
      <c r="E295">
        <v>18</v>
      </c>
      <c r="F295">
        <v>10</v>
      </c>
      <c r="G295">
        <v>2</v>
      </c>
      <c r="H295">
        <v>1072000</v>
      </c>
    </row>
    <row r="296" spans="1:8" x14ac:dyDescent="0.3">
      <c r="A296" t="s">
        <v>71</v>
      </c>
      <c r="B296" t="s">
        <v>13</v>
      </c>
      <c r="C296">
        <v>78</v>
      </c>
      <c r="D296">
        <v>50</v>
      </c>
      <c r="E296">
        <v>17</v>
      </c>
      <c r="F296">
        <v>11</v>
      </c>
      <c r="G296">
        <v>4</v>
      </c>
      <c r="H296">
        <v>1692000</v>
      </c>
    </row>
    <row r="297" spans="1:8" x14ac:dyDescent="0.3">
      <c r="A297" t="s">
        <v>72</v>
      </c>
      <c r="B297" t="s">
        <v>9</v>
      </c>
      <c r="C297">
        <v>314</v>
      </c>
      <c r="D297">
        <v>133</v>
      </c>
      <c r="E297">
        <v>37</v>
      </c>
      <c r="F297">
        <v>24</v>
      </c>
      <c r="G297">
        <v>11</v>
      </c>
      <c r="H297">
        <v>4620000</v>
      </c>
    </row>
    <row r="298" spans="1:8" x14ac:dyDescent="0.3">
      <c r="A298" t="s">
        <v>72</v>
      </c>
      <c r="B298" t="s">
        <v>10</v>
      </c>
      <c r="C298">
        <v>222</v>
      </c>
      <c r="D298">
        <v>104</v>
      </c>
      <c r="E298">
        <v>34</v>
      </c>
      <c r="F298">
        <v>19</v>
      </c>
      <c r="G298">
        <v>6</v>
      </c>
      <c r="H298">
        <v>3396000</v>
      </c>
    </row>
    <row r="299" spans="1:8" x14ac:dyDescent="0.3">
      <c r="A299" t="s">
        <v>72</v>
      </c>
      <c r="B299" t="s">
        <v>11</v>
      </c>
      <c r="C299">
        <v>387</v>
      </c>
      <c r="D299">
        <v>115</v>
      </c>
      <c r="E299">
        <v>37</v>
      </c>
      <c r="F299">
        <v>23</v>
      </c>
      <c r="G299">
        <v>6</v>
      </c>
      <c r="H299">
        <v>2298000</v>
      </c>
    </row>
    <row r="300" spans="1:8" x14ac:dyDescent="0.3">
      <c r="A300" t="s">
        <v>72</v>
      </c>
      <c r="B300" t="s">
        <v>12</v>
      </c>
      <c r="C300">
        <v>131</v>
      </c>
      <c r="D300">
        <v>59</v>
      </c>
      <c r="E300">
        <v>18</v>
      </c>
      <c r="F300">
        <v>11</v>
      </c>
      <c r="G300">
        <v>2</v>
      </c>
      <c r="H300">
        <v>1146000</v>
      </c>
    </row>
    <row r="301" spans="1:8" x14ac:dyDescent="0.3">
      <c r="A301" t="s">
        <v>72</v>
      </c>
      <c r="B301" t="s">
        <v>13</v>
      </c>
      <c r="C301">
        <v>108</v>
      </c>
      <c r="D301">
        <v>65</v>
      </c>
      <c r="E301">
        <v>19</v>
      </c>
      <c r="F301">
        <v>11</v>
      </c>
      <c r="G301">
        <v>6</v>
      </c>
      <c r="H301">
        <v>2676000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3">
      <c r="A2" t="s">
        <v>8</v>
      </c>
      <c r="B2" t="s">
        <v>10</v>
      </c>
      <c r="C2" t="s">
        <v>80</v>
      </c>
      <c r="D2">
        <v>11478</v>
      </c>
      <c r="E2">
        <v>950</v>
      </c>
      <c r="F2">
        <v>2687000</v>
      </c>
      <c r="G2">
        <v>55</v>
      </c>
      <c r="H2">
        <v>21450000</v>
      </c>
    </row>
    <row r="3" spans="1:8" x14ac:dyDescent="0.3">
      <c r="A3" t="s">
        <v>8</v>
      </c>
      <c r="B3" t="s">
        <v>10</v>
      </c>
      <c r="C3" t="s">
        <v>81</v>
      </c>
      <c r="D3">
        <v>13565</v>
      </c>
      <c r="E3">
        <v>381</v>
      </c>
      <c r="F3">
        <v>1684000</v>
      </c>
      <c r="G3">
        <v>8</v>
      </c>
      <c r="H3">
        <v>3992000</v>
      </c>
    </row>
    <row r="4" spans="1:8" x14ac:dyDescent="0.3">
      <c r="A4" t="s">
        <v>8</v>
      </c>
      <c r="B4" t="s">
        <v>11</v>
      </c>
      <c r="C4" t="s">
        <v>82</v>
      </c>
      <c r="D4">
        <v>21179</v>
      </c>
      <c r="E4">
        <v>217</v>
      </c>
      <c r="F4">
        <v>192000</v>
      </c>
      <c r="G4">
        <v>1</v>
      </c>
      <c r="H4">
        <v>389000</v>
      </c>
    </row>
    <row r="5" spans="1:8" x14ac:dyDescent="0.3">
      <c r="A5" t="s">
        <v>8</v>
      </c>
      <c r="B5" t="s">
        <v>11</v>
      </c>
      <c r="C5" t="s">
        <v>83</v>
      </c>
      <c r="D5">
        <v>29828</v>
      </c>
      <c r="E5">
        <v>545</v>
      </c>
      <c r="F5">
        <v>892000</v>
      </c>
      <c r="G5">
        <v>26</v>
      </c>
      <c r="H5">
        <v>11206000</v>
      </c>
    </row>
    <row r="6" spans="1:8" x14ac:dyDescent="0.3">
      <c r="A6" t="s">
        <v>14</v>
      </c>
      <c r="B6" t="s">
        <v>10</v>
      </c>
      <c r="C6" t="s">
        <v>80</v>
      </c>
      <c r="D6">
        <v>10376</v>
      </c>
      <c r="E6">
        <v>840</v>
      </c>
      <c r="F6">
        <v>2380000</v>
      </c>
      <c r="G6">
        <v>59</v>
      </c>
      <c r="H6">
        <v>30385000</v>
      </c>
    </row>
    <row r="7" spans="1:8" x14ac:dyDescent="0.3">
      <c r="A7" t="s">
        <v>14</v>
      </c>
      <c r="B7" t="s">
        <v>10</v>
      </c>
      <c r="C7" t="s">
        <v>81</v>
      </c>
      <c r="D7">
        <v>13677</v>
      </c>
      <c r="E7">
        <v>417</v>
      </c>
      <c r="F7">
        <v>1597000</v>
      </c>
      <c r="G7">
        <v>12</v>
      </c>
      <c r="H7">
        <v>6924000</v>
      </c>
    </row>
    <row r="8" spans="1:8" x14ac:dyDescent="0.3">
      <c r="A8" t="s">
        <v>14</v>
      </c>
      <c r="B8" t="s">
        <v>11</v>
      </c>
      <c r="C8" t="s">
        <v>82</v>
      </c>
      <c r="D8">
        <v>16098</v>
      </c>
      <c r="E8">
        <v>124</v>
      </c>
      <c r="F8">
        <v>116000</v>
      </c>
      <c r="G8">
        <v>1</v>
      </c>
      <c r="H8">
        <v>550000</v>
      </c>
    </row>
    <row r="9" spans="1:8" x14ac:dyDescent="0.3">
      <c r="A9" t="s">
        <v>14</v>
      </c>
      <c r="B9" t="s">
        <v>11</v>
      </c>
      <c r="C9" t="s">
        <v>83</v>
      </c>
      <c r="D9">
        <v>29389</v>
      </c>
      <c r="E9">
        <v>679</v>
      </c>
      <c r="F9">
        <v>1139000</v>
      </c>
      <c r="G9">
        <v>27</v>
      </c>
      <c r="H9">
        <v>11745000</v>
      </c>
    </row>
    <row r="10" spans="1:8" x14ac:dyDescent="0.3">
      <c r="A10" t="s">
        <v>15</v>
      </c>
      <c r="B10" t="s">
        <v>10</v>
      </c>
      <c r="C10" t="s">
        <v>80</v>
      </c>
      <c r="D10">
        <v>7352</v>
      </c>
      <c r="E10">
        <v>655</v>
      </c>
      <c r="F10">
        <v>1791000</v>
      </c>
      <c r="G10">
        <v>37</v>
      </c>
      <c r="H10">
        <v>19758000</v>
      </c>
    </row>
    <row r="11" spans="1:8" x14ac:dyDescent="0.3">
      <c r="A11" t="s">
        <v>15</v>
      </c>
      <c r="B11" t="s">
        <v>10</v>
      </c>
      <c r="C11" t="s">
        <v>81</v>
      </c>
      <c r="D11">
        <v>8816</v>
      </c>
      <c r="E11">
        <v>314</v>
      </c>
      <c r="F11">
        <v>1334000</v>
      </c>
      <c r="G11">
        <v>7</v>
      </c>
      <c r="H11">
        <v>3234000</v>
      </c>
    </row>
    <row r="12" spans="1:8" x14ac:dyDescent="0.3">
      <c r="A12" t="s">
        <v>15</v>
      </c>
      <c r="B12" t="s">
        <v>11</v>
      </c>
      <c r="C12" t="s">
        <v>82</v>
      </c>
      <c r="D12">
        <v>24566</v>
      </c>
      <c r="E12">
        <v>215</v>
      </c>
      <c r="F12">
        <v>186000</v>
      </c>
      <c r="G12">
        <v>1</v>
      </c>
      <c r="H12">
        <v>492000</v>
      </c>
    </row>
    <row r="13" spans="1:8" x14ac:dyDescent="0.3">
      <c r="A13" t="s">
        <v>15</v>
      </c>
      <c r="B13" t="s">
        <v>11</v>
      </c>
      <c r="C13" t="s">
        <v>83</v>
      </c>
      <c r="D13">
        <v>20195</v>
      </c>
      <c r="E13">
        <v>452</v>
      </c>
      <c r="F13">
        <v>736000</v>
      </c>
      <c r="G13">
        <v>21</v>
      </c>
      <c r="H13">
        <v>10206000</v>
      </c>
    </row>
    <row r="14" spans="1:8" x14ac:dyDescent="0.3">
      <c r="A14" t="s">
        <v>16</v>
      </c>
      <c r="B14" t="s">
        <v>10</v>
      </c>
      <c r="C14" t="s">
        <v>80</v>
      </c>
      <c r="D14">
        <v>8136</v>
      </c>
      <c r="E14">
        <v>606</v>
      </c>
      <c r="F14">
        <v>1728000</v>
      </c>
      <c r="G14">
        <v>38</v>
      </c>
      <c r="H14">
        <v>17480000</v>
      </c>
    </row>
    <row r="15" spans="1:8" x14ac:dyDescent="0.3">
      <c r="A15" t="s">
        <v>16</v>
      </c>
      <c r="B15" t="s">
        <v>10</v>
      </c>
      <c r="C15" t="s">
        <v>81</v>
      </c>
      <c r="D15">
        <v>8655</v>
      </c>
      <c r="E15">
        <v>273</v>
      </c>
      <c r="F15">
        <v>1050000</v>
      </c>
      <c r="G15">
        <v>8</v>
      </c>
      <c r="H15">
        <v>3240000</v>
      </c>
    </row>
    <row r="16" spans="1:8" x14ac:dyDescent="0.3">
      <c r="A16" t="s">
        <v>16</v>
      </c>
      <c r="B16" t="s">
        <v>11</v>
      </c>
      <c r="C16" t="s">
        <v>82</v>
      </c>
      <c r="D16">
        <v>15589</v>
      </c>
      <c r="E16">
        <v>155</v>
      </c>
      <c r="F16">
        <v>142000</v>
      </c>
      <c r="G16">
        <v>1</v>
      </c>
      <c r="H16">
        <v>565000</v>
      </c>
    </row>
    <row r="17" spans="1:8" x14ac:dyDescent="0.3">
      <c r="A17" t="s">
        <v>16</v>
      </c>
      <c r="B17" t="s">
        <v>11</v>
      </c>
      <c r="C17" t="s">
        <v>83</v>
      </c>
      <c r="D17">
        <v>18124</v>
      </c>
      <c r="E17">
        <v>378</v>
      </c>
      <c r="F17">
        <v>592000</v>
      </c>
      <c r="G17">
        <v>19</v>
      </c>
      <c r="H17">
        <v>9690000</v>
      </c>
    </row>
    <row r="18" spans="1:8" x14ac:dyDescent="0.3">
      <c r="A18" t="s">
        <v>17</v>
      </c>
      <c r="B18" t="s">
        <v>10</v>
      </c>
      <c r="C18" t="s">
        <v>80</v>
      </c>
      <c r="D18">
        <v>8085</v>
      </c>
      <c r="E18">
        <v>624</v>
      </c>
      <c r="F18">
        <v>1788000</v>
      </c>
      <c r="G18">
        <v>31</v>
      </c>
      <c r="H18">
        <v>13082000</v>
      </c>
    </row>
    <row r="19" spans="1:8" x14ac:dyDescent="0.3">
      <c r="A19" t="s">
        <v>17</v>
      </c>
      <c r="B19" t="s">
        <v>10</v>
      </c>
      <c r="C19" t="s">
        <v>81</v>
      </c>
      <c r="D19">
        <v>12992</v>
      </c>
      <c r="E19">
        <v>449</v>
      </c>
      <c r="F19">
        <v>1860000</v>
      </c>
      <c r="G19">
        <v>11</v>
      </c>
      <c r="H19">
        <v>5192000</v>
      </c>
    </row>
    <row r="20" spans="1:8" x14ac:dyDescent="0.3">
      <c r="A20" t="s">
        <v>17</v>
      </c>
      <c r="B20" t="s">
        <v>11</v>
      </c>
      <c r="C20" t="s">
        <v>82</v>
      </c>
      <c r="D20">
        <v>18228</v>
      </c>
      <c r="E20">
        <v>154</v>
      </c>
      <c r="F20">
        <v>148000</v>
      </c>
      <c r="G20">
        <v>1</v>
      </c>
      <c r="H20">
        <v>491000</v>
      </c>
    </row>
    <row r="21" spans="1:8" x14ac:dyDescent="0.3">
      <c r="A21" t="s">
        <v>17</v>
      </c>
      <c r="B21" t="s">
        <v>11</v>
      </c>
      <c r="C21" t="s">
        <v>83</v>
      </c>
      <c r="D21">
        <v>14365</v>
      </c>
      <c r="E21">
        <v>336</v>
      </c>
      <c r="F21">
        <v>558000</v>
      </c>
      <c r="G21">
        <v>16</v>
      </c>
      <c r="H21">
        <v>6368000</v>
      </c>
    </row>
    <row r="22" spans="1:8" x14ac:dyDescent="0.3">
      <c r="A22" t="s">
        <v>18</v>
      </c>
      <c r="B22" t="s">
        <v>10</v>
      </c>
      <c r="C22" t="s">
        <v>80</v>
      </c>
      <c r="D22">
        <v>13447</v>
      </c>
      <c r="E22">
        <v>1070</v>
      </c>
      <c r="F22">
        <v>2829000</v>
      </c>
      <c r="G22">
        <v>65</v>
      </c>
      <c r="H22">
        <v>34450000</v>
      </c>
    </row>
    <row r="23" spans="1:8" x14ac:dyDescent="0.3">
      <c r="A23" t="s">
        <v>18</v>
      </c>
      <c r="B23" t="s">
        <v>10</v>
      </c>
      <c r="C23" t="s">
        <v>81</v>
      </c>
      <c r="D23">
        <v>9276</v>
      </c>
      <c r="E23">
        <v>252</v>
      </c>
      <c r="F23">
        <v>1042000</v>
      </c>
      <c r="G23">
        <v>6</v>
      </c>
      <c r="H23">
        <v>3468000</v>
      </c>
    </row>
    <row r="24" spans="1:8" x14ac:dyDescent="0.3">
      <c r="A24" t="s">
        <v>18</v>
      </c>
      <c r="B24" t="s">
        <v>11</v>
      </c>
      <c r="C24" t="s">
        <v>82</v>
      </c>
      <c r="D24">
        <v>18698</v>
      </c>
      <c r="E24">
        <v>172</v>
      </c>
      <c r="F24">
        <v>158000</v>
      </c>
      <c r="G24">
        <v>1</v>
      </c>
      <c r="H24">
        <v>519000</v>
      </c>
    </row>
    <row r="25" spans="1:8" x14ac:dyDescent="0.3">
      <c r="A25" t="s">
        <v>18</v>
      </c>
      <c r="B25" t="s">
        <v>11</v>
      </c>
      <c r="C25" t="s">
        <v>83</v>
      </c>
      <c r="D25">
        <v>32494</v>
      </c>
      <c r="E25">
        <v>633</v>
      </c>
      <c r="F25">
        <v>957000</v>
      </c>
      <c r="G25">
        <v>30</v>
      </c>
      <c r="H25">
        <v>13410000</v>
      </c>
    </row>
    <row r="26" spans="1:8" x14ac:dyDescent="0.3">
      <c r="A26" t="s">
        <v>19</v>
      </c>
      <c r="B26" t="s">
        <v>10</v>
      </c>
      <c r="C26" t="s">
        <v>80</v>
      </c>
      <c r="D26">
        <v>13076</v>
      </c>
      <c r="E26">
        <v>1114</v>
      </c>
      <c r="F26">
        <v>3396000</v>
      </c>
      <c r="G26">
        <v>77</v>
      </c>
      <c r="H26">
        <v>36267000</v>
      </c>
    </row>
    <row r="27" spans="1:8" x14ac:dyDescent="0.3">
      <c r="A27" t="s">
        <v>19</v>
      </c>
      <c r="B27" t="s">
        <v>10</v>
      </c>
      <c r="C27" t="s">
        <v>81</v>
      </c>
      <c r="D27">
        <v>14236</v>
      </c>
      <c r="E27">
        <v>440</v>
      </c>
      <c r="F27">
        <v>1879000</v>
      </c>
      <c r="G27">
        <v>14</v>
      </c>
      <c r="H27">
        <v>6468000</v>
      </c>
    </row>
    <row r="28" spans="1:8" x14ac:dyDescent="0.3">
      <c r="A28" t="s">
        <v>19</v>
      </c>
      <c r="B28" t="s">
        <v>11</v>
      </c>
      <c r="C28" t="s">
        <v>82</v>
      </c>
      <c r="D28">
        <v>19886</v>
      </c>
      <c r="E28">
        <v>192</v>
      </c>
      <c r="F28">
        <v>187000</v>
      </c>
      <c r="G28">
        <v>1</v>
      </c>
      <c r="H28">
        <v>400000</v>
      </c>
    </row>
    <row r="29" spans="1:8" x14ac:dyDescent="0.3">
      <c r="A29" t="s">
        <v>19</v>
      </c>
      <c r="B29" t="s">
        <v>11</v>
      </c>
      <c r="C29" t="s">
        <v>83</v>
      </c>
      <c r="D29">
        <v>18068</v>
      </c>
      <c r="E29">
        <v>361</v>
      </c>
      <c r="F29">
        <v>526000</v>
      </c>
      <c r="G29">
        <v>15</v>
      </c>
      <c r="H29">
        <v>7590000</v>
      </c>
    </row>
    <row r="30" spans="1:8" x14ac:dyDescent="0.3">
      <c r="A30" t="s">
        <v>20</v>
      </c>
      <c r="B30" t="s">
        <v>10</v>
      </c>
      <c r="C30" t="s">
        <v>80</v>
      </c>
      <c r="D30">
        <v>13339</v>
      </c>
      <c r="E30">
        <v>1044</v>
      </c>
      <c r="F30">
        <v>2954000</v>
      </c>
      <c r="G30">
        <v>59</v>
      </c>
      <c r="H30">
        <v>23659000</v>
      </c>
    </row>
    <row r="31" spans="1:8" x14ac:dyDescent="0.3">
      <c r="A31" t="s">
        <v>20</v>
      </c>
      <c r="B31" t="s">
        <v>10</v>
      </c>
      <c r="C31" t="s">
        <v>81</v>
      </c>
      <c r="D31">
        <v>11411</v>
      </c>
      <c r="E31">
        <v>381</v>
      </c>
      <c r="F31">
        <v>1734000</v>
      </c>
      <c r="G31">
        <v>12</v>
      </c>
      <c r="H31">
        <v>4968000</v>
      </c>
    </row>
    <row r="32" spans="1:8" x14ac:dyDescent="0.3">
      <c r="A32" t="s">
        <v>20</v>
      </c>
      <c r="B32" t="s">
        <v>11</v>
      </c>
      <c r="C32" t="s">
        <v>82</v>
      </c>
      <c r="D32">
        <v>26688</v>
      </c>
      <c r="E32">
        <v>213</v>
      </c>
      <c r="F32">
        <v>204000</v>
      </c>
      <c r="G32">
        <v>1</v>
      </c>
      <c r="H32">
        <v>429000</v>
      </c>
    </row>
    <row r="33" spans="1:8" x14ac:dyDescent="0.3">
      <c r="A33" t="s">
        <v>20</v>
      </c>
      <c r="B33" t="s">
        <v>11</v>
      </c>
      <c r="C33" t="s">
        <v>83</v>
      </c>
      <c r="D33">
        <v>26929</v>
      </c>
      <c r="E33">
        <v>499</v>
      </c>
      <c r="F33">
        <v>853000</v>
      </c>
      <c r="G33">
        <v>23</v>
      </c>
      <c r="H33">
        <v>9683000</v>
      </c>
    </row>
    <row r="34" spans="1:8" x14ac:dyDescent="0.3">
      <c r="A34" t="s">
        <v>21</v>
      </c>
      <c r="B34" t="s">
        <v>10</v>
      </c>
      <c r="C34" t="s">
        <v>80</v>
      </c>
      <c r="D34">
        <v>11507</v>
      </c>
      <c r="E34">
        <v>970</v>
      </c>
      <c r="F34">
        <v>2746000</v>
      </c>
      <c r="G34">
        <v>71</v>
      </c>
      <c r="H34">
        <v>32589000</v>
      </c>
    </row>
    <row r="35" spans="1:8" x14ac:dyDescent="0.3">
      <c r="A35" t="s">
        <v>21</v>
      </c>
      <c r="B35" t="s">
        <v>10</v>
      </c>
      <c r="C35" t="s">
        <v>81</v>
      </c>
      <c r="D35">
        <v>14843</v>
      </c>
      <c r="E35">
        <v>414</v>
      </c>
      <c r="F35">
        <v>1768000</v>
      </c>
      <c r="G35">
        <v>12</v>
      </c>
      <c r="H35">
        <v>4752000</v>
      </c>
    </row>
    <row r="36" spans="1:8" x14ac:dyDescent="0.3">
      <c r="A36" t="s">
        <v>21</v>
      </c>
      <c r="B36" t="s">
        <v>11</v>
      </c>
      <c r="C36" t="s">
        <v>82</v>
      </c>
      <c r="D36">
        <v>25236</v>
      </c>
      <c r="E36">
        <v>245</v>
      </c>
      <c r="F36">
        <v>224000</v>
      </c>
      <c r="G36">
        <v>1</v>
      </c>
      <c r="H36">
        <v>557000</v>
      </c>
    </row>
    <row r="37" spans="1:8" x14ac:dyDescent="0.3">
      <c r="A37" t="s">
        <v>21</v>
      </c>
      <c r="B37" t="s">
        <v>11</v>
      </c>
      <c r="C37" t="s">
        <v>83</v>
      </c>
      <c r="D37">
        <v>22619</v>
      </c>
      <c r="E37">
        <v>466</v>
      </c>
      <c r="F37">
        <v>794000</v>
      </c>
      <c r="G37">
        <v>25</v>
      </c>
      <c r="H37">
        <v>9875000</v>
      </c>
    </row>
    <row r="38" spans="1:8" x14ac:dyDescent="0.3">
      <c r="A38" t="s">
        <v>22</v>
      </c>
      <c r="B38" t="s">
        <v>10</v>
      </c>
      <c r="C38" t="s">
        <v>80</v>
      </c>
      <c r="D38">
        <v>14094</v>
      </c>
      <c r="E38">
        <v>1135</v>
      </c>
      <c r="F38">
        <v>2922000</v>
      </c>
      <c r="G38">
        <v>62</v>
      </c>
      <c r="H38">
        <v>23188000</v>
      </c>
    </row>
    <row r="39" spans="1:8" x14ac:dyDescent="0.3">
      <c r="A39" t="s">
        <v>22</v>
      </c>
      <c r="B39" t="s">
        <v>10</v>
      </c>
      <c r="C39" t="s">
        <v>81</v>
      </c>
      <c r="D39">
        <v>12863</v>
      </c>
      <c r="E39">
        <v>444</v>
      </c>
      <c r="F39">
        <v>1894000</v>
      </c>
      <c r="G39">
        <v>10</v>
      </c>
      <c r="H39">
        <v>4490000</v>
      </c>
    </row>
    <row r="40" spans="1:8" x14ac:dyDescent="0.3">
      <c r="A40" t="s">
        <v>22</v>
      </c>
      <c r="B40" t="s">
        <v>11</v>
      </c>
      <c r="C40" t="s">
        <v>82</v>
      </c>
      <c r="D40">
        <v>29338</v>
      </c>
      <c r="E40">
        <v>260</v>
      </c>
      <c r="F40">
        <v>219000</v>
      </c>
      <c r="G40">
        <v>1</v>
      </c>
      <c r="H40">
        <v>395000</v>
      </c>
    </row>
    <row r="41" spans="1:8" x14ac:dyDescent="0.3">
      <c r="A41" t="s">
        <v>22</v>
      </c>
      <c r="B41" t="s">
        <v>11</v>
      </c>
      <c r="C41" t="s">
        <v>83</v>
      </c>
      <c r="D41">
        <v>25052</v>
      </c>
      <c r="E41">
        <v>539</v>
      </c>
      <c r="F41">
        <v>830000</v>
      </c>
      <c r="G41">
        <v>28</v>
      </c>
      <c r="H41">
        <v>10836000</v>
      </c>
    </row>
    <row r="42" spans="1:8" x14ac:dyDescent="0.3">
      <c r="A42" t="s">
        <v>23</v>
      </c>
      <c r="B42" t="s">
        <v>10</v>
      </c>
      <c r="C42" t="s">
        <v>80</v>
      </c>
      <c r="D42">
        <v>13689</v>
      </c>
      <c r="E42">
        <v>1027</v>
      </c>
      <c r="F42">
        <v>3157000</v>
      </c>
      <c r="G42">
        <v>55</v>
      </c>
      <c r="H42">
        <v>22935000</v>
      </c>
    </row>
    <row r="43" spans="1:8" x14ac:dyDescent="0.3">
      <c r="A43" t="s">
        <v>23</v>
      </c>
      <c r="B43" t="s">
        <v>10</v>
      </c>
      <c r="C43" t="s">
        <v>81</v>
      </c>
      <c r="D43">
        <v>6808</v>
      </c>
      <c r="E43">
        <v>230</v>
      </c>
      <c r="F43">
        <v>954000</v>
      </c>
      <c r="G43">
        <v>7</v>
      </c>
      <c r="H43">
        <v>2569000</v>
      </c>
    </row>
    <row r="44" spans="1:8" x14ac:dyDescent="0.3">
      <c r="A44" t="s">
        <v>23</v>
      </c>
      <c r="B44" t="s">
        <v>11</v>
      </c>
      <c r="C44" t="s">
        <v>82</v>
      </c>
      <c r="D44">
        <v>14410</v>
      </c>
      <c r="E44">
        <v>110</v>
      </c>
      <c r="F44">
        <v>91000</v>
      </c>
      <c r="G44">
        <v>1</v>
      </c>
      <c r="H44">
        <v>374000</v>
      </c>
    </row>
    <row r="45" spans="1:8" x14ac:dyDescent="0.3">
      <c r="A45" t="s">
        <v>23</v>
      </c>
      <c r="B45" t="s">
        <v>11</v>
      </c>
      <c r="C45" t="s">
        <v>83</v>
      </c>
      <c r="D45">
        <v>32734</v>
      </c>
      <c r="E45">
        <v>649</v>
      </c>
      <c r="F45">
        <v>966000</v>
      </c>
      <c r="G45">
        <v>28</v>
      </c>
      <c r="H45">
        <v>12068000</v>
      </c>
    </row>
    <row r="46" spans="1:8" x14ac:dyDescent="0.3">
      <c r="A46" t="s">
        <v>24</v>
      </c>
      <c r="B46" t="s">
        <v>10</v>
      </c>
      <c r="C46" t="s">
        <v>80</v>
      </c>
      <c r="D46">
        <v>10205</v>
      </c>
      <c r="E46">
        <v>871</v>
      </c>
      <c r="F46">
        <v>2673000</v>
      </c>
      <c r="G46">
        <v>59</v>
      </c>
      <c r="H46">
        <v>28969000</v>
      </c>
    </row>
    <row r="47" spans="1:8" x14ac:dyDescent="0.3">
      <c r="A47" t="s">
        <v>24</v>
      </c>
      <c r="B47" t="s">
        <v>10</v>
      </c>
      <c r="C47" t="s">
        <v>81</v>
      </c>
      <c r="D47">
        <v>7420</v>
      </c>
      <c r="E47">
        <v>222</v>
      </c>
      <c r="F47">
        <v>987000</v>
      </c>
      <c r="G47">
        <v>7</v>
      </c>
      <c r="H47">
        <v>3290000</v>
      </c>
    </row>
    <row r="48" spans="1:8" x14ac:dyDescent="0.3">
      <c r="A48" t="s">
        <v>24</v>
      </c>
      <c r="B48" t="s">
        <v>11</v>
      </c>
      <c r="C48" t="s">
        <v>82</v>
      </c>
      <c r="D48">
        <v>14923</v>
      </c>
      <c r="E48">
        <v>143</v>
      </c>
      <c r="F48">
        <v>135000</v>
      </c>
      <c r="G48">
        <v>1</v>
      </c>
      <c r="H48">
        <v>385000</v>
      </c>
    </row>
    <row r="49" spans="1:8" x14ac:dyDescent="0.3">
      <c r="A49" t="s">
        <v>24</v>
      </c>
      <c r="B49" t="s">
        <v>11</v>
      </c>
      <c r="C49" t="s">
        <v>83</v>
      </c>
      <c r="D49">
        <v>19511</v>
      </c>
      <c r="E49">
        <v>375</v>
      </c>
      <c r="F49">
        <v>571000</v>
      </c>
      <c r="G49">
        <v>19</v>
      </c>
      <c r="H49">
        <v>9177000</v>
      </c>
    </row>
    <row r="50" spans="1:8" x14ac:dyDescent="0.3">
      <c r="A50" t="s">
        <v>25</v>
      </c>
      <c r="B50" t="s">
        <v>10</v>
      </c>
      <c r="C50" t="s">
        <v>80</v>
      </c>
      <c r="D50">
        <v>13699</v>
      </c>
      <c r="E50">
        <v>1179</v>
      </c>
      <c r="F50">
        <v>3539000</v>
      </c>
      <c r="G50">
        <v>73</v>
      </c>
      <c r="H50">
        <v>28397000</v>
      </c>
    </row>
    <row r="51" spans="1:8" x14ac:dyDescent="0.3">
      <c r="A51" t="s">
        <v>25</v>
      </c>
      <c r="B51" t="s">
        <v>10</v>
      </c>
      <c r="C51" t="s">
        <v>81</v>
      </c>
      <c r="D51">
        <v>11798</v>
      </c>
      <c r="E51">
        <v>379</v>
      </c>
      <c r="F51">
        <v>1601000</v>
      </c>
      <c r="G51">
        <v>11</v>
      </c>
      <c r="H51">
        <v>6347000</v>
      </c>
    </row>
    <row r="52" spans="1:8" x14ac:dyDescent="0.3">
      <c r="A52" t="s">
        <v>25</v>
      </c>
      <c r="B52" t="s">
        <v>11</v>
      </c>
      <c r="C52" t="s">
        <v>82</v>
      </c>
      <c r="D52">
        <v>25482</v>
      </c>
      <c r="E52">
        <v>242</v>
      </c>
      <c r="F52">
        <v>234000</v>
      </c>
      <c r="G52">
        <v>1</v>
      </c>
      <c r="H52">
        <v>562000</v>
      </c>
    </row>
    <row r="53" spans="1:8" x14ac:dyDescent="0.3">
      <c r="A53" t="s">
        <v>25</v>
      </c>
      <c r="B53" t="s">
        <v>11</v>
      </c>
      <c r="C53" t="s">
        <v>83</v>
      </c>
      <c r="D53">
        <v>23083</v>
      </c>
      <c r="E53">
        <v>540</v>
      </c>
      <c r="F53">
        <v>943000</v>
      </c>
      <c r="G53">
        <v>30</v>
      </c>
      <c r="H53">
        <v>16530000</v>
      </c>
    </row>
    <row r="54" spans="1:8" x14ac:dyDescent="0.3">
      <c r="A54" t="s">
        <v>26</v>
      </c>
      <c r="B54" t="s">
        <v>10</v>
      </c>
      <c r="C54" t="s">
        <v>80</v>
      </c>
      <c r="D54">
        <v>10933</v>
      </c>
      <c r="E54">
        <v>800</v>
      </c>
      <c r="F54">
        <v>2332000</v>
      </c>
      <c r="G54">
        <v>41</v>
      </c>
      <c r="H54">
        <v>20213000</v>
      </c>
    </row>
    <row r="55" spans="1:8" x14ac:dyDescent="0.3">
      <c r="A55" t="s">
        <v>26</v>
      </c>
      <c r="B55" t="s">
        <v>10</v>
      </c>
      <c r="C55" t="s">
        <v>81</v>
      </c>
      <c r="D55">
        <v>6315</v>
      </c>
      <c r="E55">
        <v>230</v>
      </c>
      <c r="F55">
        <v>872000</v>
      </c>
      <c r="G55">
        <v>7</v>
      </c>
      <c r="H55">
        <v>3815000</v>
      </c>
    </row>
    <row r="56" spans="1:8" x14ac:dyDescent="0.3">
      <c r="A56" t="s">
        <v>26</v>
      </c>
      <c r="B56" t="s">
        <v>11</v>
      </c>
      <c r="C56" t="s">
        <v>82</v>
      </c>
      <c r="D56">
        <v>14069</v>
      </c>
      <c r="E56">
        <v>124</v>
      </c>
      <c r="F56">
        <v>103000</v>
      </c>
      <c r="G56">
        <v>1</v>
      </c>
      <c r="H56">
        <v>371000</v>
      </c>
    </row>
    <row r="57" spans="1:8" x14ac:dyDescent="0.3">
      <c r="A57" t="s">
        <v>26</v>
      </c>
      <c r="B57" t="s">
        <v>11</v>
      </c>
      <c r="C57" t="s">
        <v>83</v>
      </c>
      <c r="D57">
        <v>19973</v>
      </c>
      <c r="E57">
        <v>383</v>
      </c>
      <c r="F57">
        <v>603000</v>
      </c>
      <c r="G57">
        <v>20</v>
      </c>
      <c r="H57">
        <v>10620000</v>
      </c>
    </row>
    <row r="58" spans="1:8" x14ac:dyDescent="0.3">
      <c r="A58" t="s">
        <v>27</v>
      </c>
      <c r="B58" t="s">
        <v>10</v>
      </c>
      <c r="C58" t="s">
        <v>80</v>
      </c>
      <c r="D58">
        <v>14329</v>
      </c>
      <c r="E58">
        <v>1168</v>
      </c>
      <c r="F58">
        <v>3480000</v>
      </c>
      <c r="G58">
        <v>74</v>
      </c>
      <c r="H58">
        <v>35002000</v>
      </c>
    </row>
    <row r="59" spans="1:8" x14ac:dyDescent="0.3">
      <c r="A59" t="s">
        <v>27</v>
      </c>
      <c r="B59" t="s">
        <v>10</v>
      </c>
      <c r="C59" t="s">
        <v>81</v>
      </c>
      <c r="D59">
        <v>7149</v>
      </c>
      <c r="E59">
        <v>234</v>
      </c>
      <c r="F59">
        <v>988000</v>
      </c>
      <c r="G59">
        <v>5</v>
      </c>
      <c r="H59">
        <v>2095000</v>
      </c>
    </row>
    <row r="60" spans="1:8" x14ac:dyDescent="0.3">
      <c r="A60" t="s">
        <v>27</v>
      </c>
      <c r="B60" t="s">
        <v>11</v>
      </c>
      <c r="C60" t="s">
        <v>82</v>
      </c>
      <c r="D60">
        <v>13398</v>
      </c>
      <c r="E60">
        <v>109</v>
      </c>
      <c r="F60">
        <v>95000</v>
      </c>
      <c r="G60">
        <v>1</v>
      </c>
      <c r="H60">
        <v>477000</v>
      </c>
    </row>
    <row r="61" spans="1:8" x14ac:dyDescent="0.3">
      <c r="A61" t="s">
        <v>27</v>
      </c>
      <c r="B61" t="s">
        <v>11</v>
      </c>
      <c r="C61" t="s">
        <v>83</v>
      </c>
      <c r="D61">
        <v>32708</v>
      </c>
      <c r="E61">
        <v>693</v>
      </c>
      <c r="F61">
        <v>1127000</v>
      </c>
      <c r="G61">
        <v>39</v>
      </c>
      <c r="H61">
        <v>22035000</v>
      </c>
    </row>
    <row r="62" spans="1:8" x14ac:dyDescent="0.3">
      <c r="A62" t="s">
        <v>28</v>
      </c>
      <c r="B62" t="s">
        <v>10</v>
      </c>
      <c r="C62" t="s">
        <v>80</v>
      </c>
      <c r="D62">
        <v>14391</v>
      </c>
      <c r="E62">
        <v>1245</v>
      </c>
      <c r="F62">
        <v>3655000</v>
      </c>
      <c r="G62">
        <v>64</v>
      </c>
      <c r="H62">
        <v>25152000</v>
      </c>
    </row>
    <row r="63" spans="1:8" x14ac:dyDescent="0.3">
      <c r="A63" t="s">
        <v>28</v>
      </c>
      <c r="B63" t="s">
        <v>10</v>
      </c>
      <c r="C63" t="s">
        <v>81</v>
      </c>
      <c r="D63">
        <v>10256</v>
      </c>
      <c r="E63">
        <v>371</v>
      </c>
      <c r="F63">
        <v>1605000</v>
      </c>
      <c r="G63">
        <v>8</v>
      </c>
      <c r="H63">
        <v>3216000</v>
      </c>
    </row>
    <row r="64" spans="1:8" x14ac:dyDescent="0.3">
      <c r="A64" t="s">
        <v>28</v>
      </c>
      <c r="B64" t="s">
        <v>11</v>
      </c>
      <c r="C64" t="s">
        <v>82</v>
      </c>
      <c r="D64">
        <v>28072</v>
      </c>
      <c r="E64">
        <v>274</v>
      </c>
      <c r="F64">
        <v>258000</v>
      </c>
      <c r="G64">
        <v>2</v>
      </c>
      <c r="H64">
        <v>900000</v>
      </c>
    </row>
    <row r="65" spans="1:8" x14ac:dyDescent="0.3">
      <c r="A65" t="s">
        <v>28</v>
      </c>
      <c r="B65" t="s">
        <v>11</v>
      </c>
      <c r="C65" t="s">
        <v>83</v>
      </c>
      <c r="D65">
        <v>14008</v>
      </c>
      <c r="E65">
        <v>269</v>
      </c>
      <c r="F65">
        <v>445000</v>
      </c>
      <c r="G65">
        <v>14</v>
      </c>
      <c r="H65">
        <v>6412000</v>
      </c>
    </row>
    <row r="66" spans="1:8" x14ac:dyDescent="0.3">
      <c r="A66" t="s">
        <v>29</v>
      </c>
      <c r="B66" t="s">
        <v>10</v>
      </c>
      <c r="C66" t="s">
        <v>80</v>
      </c>
      <c r="D66">
        <v>11556</v>
      </c>
      <c r="E66">
        <v>903</v>
      </c>
      <c r="F66">
        <v>2423000</v>
      </c>
      <c r="G66">
        <v>45</v>
      </c>
      <c r="H66">
        <v>24885000</v>
      </c>
    </row>
    <row r="67" spans="1:8" x14ac:dyDescent="0.3">
      <c r="A67" t="s">
        <v>29</v>
      </c>
      <c r="B67" t="s">
        <v>10</v>
      </c>
      <c r="C67" t="s">
        <v>81</v>
      </c>
      <c r="D67">
        <v>14449</v>
      </c>
      <c r="E67">
        <v>407</v>
      </c>
      <c r="F67">
        <v>1673000</v>
      </c>
      <c r="G67">
        <v>10</v>
      </c>
      <c r="H67">
        <v>5290000</v>
      </c>
    </row>
    <row r="68" spans="1:8" x14ac:dyDescent="0.3">
      <c r="A68" t="s">
        <v>29</v>
      </c>
      <c r="B68" t="s">
        <v>11</v>
      </c>
      <c r="C68" t="s">
        <v>82</v>
      </c>
      <c r="D68">
        <v>30664</v>
      </c>
      <c r="E68">
        <v>244</v>
      </c>
      <c r="F68">
        <v>207000</v>
      </c>
      <c r="G68">
        <v>1</v>
      </c>
      <c r="H68">
        <v>509000</v>
      </c>
    </row>
    <row r="69" spans="1:8" x14ac:dyDescent="0.3">
      <c r="A69" t="s">
        <v>29</v>
      </c>
      <c r="B69" t="s">
        <v>11</v>
      </c>
      <c r="C69" t="s">
        <v>83</v>
      </c>
      <c r="D69">
        <v>19474</v>
      </c>
      <c r="E69">
        <v>410</v>
      </c>
      <c r="F69">
        <v>719000</v>
      </c>
      <c r="G69">
        <v>18</v>
      </c>
      <c r="H69">
        <v>9180000</v>
      </c>
    </row>
    <row r="70" spans="1:8" x14ac:dyDescent="0.3">
      <c r="A70" t="s">
        <v>30</v>
      </c>
      <c r="B70" t="s">
        <v>10</v>
      </c>
      <c r="C70" t="s">
        <v>80</v>
      </c>
      <c r="D70">
        <v>14871</v>
      </c>
      <c r="E70">
        <v>1440</v>
      </c>
      <c r="F70">
        <v>4151000</v>
      </c>
      <c r="G70">
        <v>96</v>
      </c>
      <c r="H70">
        <v>46848000</v>
      </c>
    </row>
    <row r="71" spans="1:8" x14ac:dyDescent="0.3">
      <c r="A71" t="s">
        <v>30</v>
      </c>
      <c r="B71" t="s">
        <v>10</v>
      </c>
      <c r="C71" t="s">
        <v>81</v>
      </c>
      <c r="D71">
        <v>13520</v>
      </c>
      <c r="E71">
        <v>451</v>
      </c>
      <c r="F71">
        <v>1912000</v>
      </c>
      <c r="G71">
        <v>14</v>
      </c>
      <c r="H71">
        <v>6622000</v>
      </c>
    </row>
    <row r="72" spans="1:8" x14ac:dyDescent="0.3">
      <c r="A72" t="s">
        <v>30</v>
      </c>
      <c r="B72" t="s">
        <v>11</v>
      </c>
      <c r="C72" t="s">
        <v>82</v>
      </c>
      <c r="D72">
        <v>15313</v>
      </c>
      <c r="E72">
        <v>129</v>
      </c>
      <c r="F72">
        <v>128000</v>
      </c>
      <c r="G72">
        <v>1</v>
      </c>
      <c r="H72">
        <v>579000</v>
      </c>
    </row>
    <row r="73" spans="1:8" x14ac:dyDescent="0.3">
      <c r="A73" t="s">
        <v>30</v>
      </c>
      <c r="B73" t="s">
        <v>11</v>
      </c>
      <c r="C73" t="s">
        <v>83</v>
      </c>
      <c r="D73">
        <v>26209</v>
      </c>
      <c r="E73">
        <v>492</v>
      </c>
      <c r="F73">
        <v>813000</v>
      </c>
      <c r="G73">
        <v>21</v>
      </c>
      <c r="H73">
        <v>12159000</v>
      </c>
    </row>
    <row r="74" spans="1:8" x14ac:dyDescent="0.3">
      <c r="A74" t="s">
        <v>31</v>
      </c>
      <c r="B74" t="s">
        <v>10</v>
      </c>
      <c r="C74" t="s">
        <v>80</v>
      </c>
      <c r="D74">
        <v>11711</v>
      </c>
      <c r="E74">
        <v>906</v>
      </c>
      <c r="F74">
        <v>2765000</v>
      </c>
      <c r="G74">
        <v>57</v>
      </c>
      <c r="H74">
        <v>22686000</v>
      </c>
    </row>
    <row r="75" spans="1:8" x14ac:dyDescent="0.3">
      <c r="A75" t="s">
        <v>31</v>
      </c>
      <c r="B75" t="s">
        <v>10</v>
      </c>
      <c r="C75" t="s">
        <v>81</v>
      </c>
      <c r="D75">
        <v>12784</v>
      </c>
      <c r="E75">
        <v>353</v>
      </c>
      <c r="F75">
        <v>1347000</v>
      </c>
      <c r="G75">
        <v>9</v>
      </c>
      <c r="H75">
        <v>4599000</v>
      </c>
    </row>
    <row r="76" spans="1:8" x14ac:dyDescent="0.3">
      <c r="A76" t="s">
        <v>31</v>
      </c>
      <c r="B76" t="s">
        <v>11</v>
      </c>
      <c r="C76" t="s">
        <v>82</v>
      </c>
      <c r="D76">
        <v>29240</v>
      </c>
      <c r="E76">
        <v>234</v>
      </c>
      <c r="F76">
        <v>214000</v>
      </c>
      <c r="G76">
        <v>1</v>
      </c>
      <c r="H76">
        <v>481000</v>
      </c>
    </row>
    <row r="77" spans="1:8" x14ac:dyDescent="0.3">
      <c r="A77" t="s">
        <v>31</v>
      </c>
      <c r="B77" t="s">
        <v>11</v>
      </c>
      <c r="C77" t="s">
        <v>83</v>
      </c>
      <c r="D77">
        <v>16322</v>
      </c>
      <c r="E77">
        <v>342</v>
      </c>
      <c r="F77">
        <v>533000</v>
      </c>
      <c r="G77">
        <v>14</v>
      </c>
      <c r="H77">
        <v>7084000</v>
      </c>
    </row>
    <row r="78" spans="1:8" x14ac:dyDescent="0.3">
      <c r="A78" t="s">
        <v>32</v>
      </c>
      <c r="B78" t="s">
        <v>10</v>
      </c>
      <c r="C78" t="s">
        <v>80</v>
      </c>
      <c r="D78">
        <v>8669</v>
      </c>
      <c r="E78">
        <v>658</v>
      </c>
      <c r="F78">
        <v>1698000</v>
      </c>
      <c r="G78">
        <v>46</v>
      </c>
      <c r="H78">
        <v>21712000</v>
      </c>
    </row>
    <row r="79" spans="1:8" x14ac:dyDescent="0.3">
      <c r="A79" t="s">
        <v>32</v>
      </c>
      <c r="B79" t="s">
        <v>10</v>
      </c>
      <c r="C79" t="s">
        <v>81</v>
      </c>
      <c r="D79">
        <v>13616</v>
      </c>
      <c r="E79">
        <v>485</v>
      </c>
      <c r="F79">
        <v>2218000</v>
      </c>
      <c r="G79">
        <v>11</v>
      </c>
      <c r="H79">
        <v>6281000</v>
      </c>
    </row>
    <row r="80" spans="1:8" x14ac:dyDescent="0.3">
      <c r="A80" t="s">
        <v>32</v>
      </c>
      <c r="B80" t="s">
        <v>11</v>
      </c>
      <c r="C80" t="s">
        <v>82</v>
      </c>
      <c r="D80">
        <v>16992</v>
      </c>
      <c r="E80">
        <v>151</v>
      </c>
      <c r="F80">
        <v>131000</v>
      </c>
      <c r="G80">
        <v>1</v>
      </c>
      <c r="H80">
        <v>382000</v>
      </c>
    </row>
    <row r="81" spans="1:8" x14ac:dyDescent="0.3">
      <c r="A81" t="s">
        <v>32</v>
      </c>
      <c r="B81" t="s">
        <v>11</v>
      </c>
      <c r="C81" t="s">
        <v>83</v>
      </c>
      <c r="D81">
        <v>14918</v>
      </c>
      <c r="E81">
        <v>308</v>
      </c>
      <c r="F81">
        <v>460000</v>
      </c>
      <c r="G81">
        <v>17</v>
      </c>
      <c r="H81">
        <v>8585000</v>
      </c>
    </row>
    <row r="82" spans="1:8" x14ac:dyDescent="0.3">
      <c r="A82" t="s">
        <v>33</v>
      </c>
      <c r="B82" t="s">
        <v>10</v>
      </c>
      <c r="C82" t="s">
        <v>80</v>
      </c>
      <c r="D82">
        <v>12142</v>
      </c>
      <c r="E82">
        <v>896</v>
      </c>
      <c r="F82">
        <v>2559000</v>
      </c>
      <c r="G82">
        <v>55</v>
      </c>
      <c r="H82">
        <v>22110000</v>
      </c>
    </row>
    <row r="83" spans="1:8" x14ac:dyDescent="0.3">
      <c r="A83" t="s">
        <v>33</v>
      </c>
      <c r="B83" t="s">
        <v>10</v>
      </c>
      <c r="C83" t="s">
        <v>81</v>
      </c>
      <c r="D83">
        <v>7175</v>
      </c>
      <c r="E83">
        <v>239</v>
      </c>
      <c r="F83">
        <v>917000</v>
      </c>
      <c r="G83">
        <v>7</v>
      </c>
      <c r="H83">
        <v>3836000</v>
      </c>
    </row>
    <row r="84" spans="1:8" x14ac:dyDescent="0.3">
      <c r="A84" t="s">
        <v>33</v>
      </c>
      <c r="B84" t="s">
        <v>11</v>
      </c>
      <c r="C84" t="s">
        <v>82</v>
      </c>
      <c r="D84">
        <v>26238</v>
      </c>
      <c r="E84">
        <v>241</v>
      </c>
      <c r="F84">
        <v>201000</v>
      </c>
      <c r="G84">
        <v>1</v>
      </c>
      <c r="H84">
        <v>383000</v>
      </c>
    </row>
    <row r="85" spans="1:8" x14ac:dyDescent="0.3">
      <c r="A85" t="s">
        <v>33</v>
      </c>
      <c r="B85" t="s">
        <v>11</v>
      </c>
      <c r="C85" t="s">
        <v>83</v>
      </c>
      <c r="D85">
        <v>15310</v>
      </c>
      <c r="E85">
        <v>274</v>
      </c>
      <c r="F85">
        <v>397000</v>
      </c>
      <c r="G85">
        <v>14</v>
      </c>
      <c r="H85">
        <v>5376000</v>
      </c>
    </row>
    <row r="86" spans="1:8" x14ac:dyDescent="0.3">
      <c r="A86" t="s">
        <v>34</v>
      </c>
      <c r="B86" t="s">
        <v>10</v>
      </c>
      <c r="C86" t="s">
        <v>80</v>
      </c>
      <c r="D86">
        <v>10104</v>
      </c>
      <c r="E86">
        <v>739</v>
      </c>
      <c r="F86">
        <v>2237000</v>
      </c>
      <c r="G86">
        <v>39</v>
      </c>
      <c r="H86">
        <v>16926000</v>
      </c>
    </row>
    <row r="87" spans="1:8" x14ac:dyDescent="0.3">
      <c r="A87" t="s">
        <v>34</v>
      </c>
      <c r="B87" t="s">
        <v>10</v>
      </c>
      <c r="C87" t="s">
        <v>81</v>
      </c>
      <c r="D87">
        <v>6996</v>
      </c>
      <c r="E87">
        <v>257</v>
      </c>
      <c r="F87">
        <v>1134000</v>
      </c>
      <c r="G87">
        <v>6</v>
      </c>
      <c r="H87">
        <v>2742000</v>
      </c>
    </row>
    <row r="88" spans="1:8" x14ac:dyDescent="0.3">
      <c r="A88" t="s">
        <v>34</v>
      </c>
      <c r="B88" t="s">
        <v>11</v>
      </c>
      <c r="C88" t="s">
        <v>82</v>
      </c>
      <c r="D88">
        <v>29721</v>
      </c>
      <c r="E88">
        <v>242</v>
      </c>
      <c r="F88">
        <v>205000</v>
      </c>
      <c r="G88">
        <v>2</v>
      </c>
      <c r="H88">
        <v>1146000</v>
      </c>
    </row>
    <row r="89" spans="1:8" x14ac:dyDescent="0.3">
      <c r="A89" t="s">
        <v>34</v>
      </c>
      <c r="B89" t="s">
        <v>11</v>
      </c>
      <c r="C89" t="s">
        <v>83</v>
      </c>
      <c r="D89">
        <v>22713</v>
      </c>
      <c r="E89">
        <v>514</v>
      </c>
      <c r="F89">
        <v>840000</v>
      </c>
      <c r="G89">
        <v>28</v>
      </c>
      <c r="H89">
        <v>14196000</v>
      </c>
    </row>
    <row r="90" spans="1:8" x14ac:dyDescent="0.3">
      <c r="A90" t="s">
        <v>35</v>
      </c>
      <c r="B90" t="s">
        <v>10</v>
      </c>
      <c r="C90" t="s">
        <v>80</v>
      </c>
      <c r="D90">
        <v>12056</v>
      </c>
      <c r="E90">
        <v>981</v>
      </c>
      <c r="F90">
        <v>2907000</v>
      </c>
      <c r="G90">
        <v>52</v>
      </c>
      <c r="H90">
        <v>22880000</v>
      </c>
    </row>
    <row r="91" spans="1:8" x14ac:dyDescent="0.3">
      <c r="A91" t="s">
        <v>35</v>
      </c>
      <c r="B91" t="s">
        <v>10</v>
      </c>
      <c r="C91" t="s">
        <v>81</v>
      </c>
      <c r="D91">
        <v>14836</v>
      </c>
      <c r="E91">
        <v>536</v>
      </c>
      <c r="F91">
        <v>2156000</v>
      </c>
      <c r="G91">
        <v>13</v>
      </c>
      <c r="H91">
        <v>5590000</v>
      </c>
    </row>
    <row r="92" spans="1:8" x14ac:dyDescent="0.3">
      <c r="A92" t="s">
        <v>35</v>
      </c>
      <c r="B92" t="s">
        <v>11</v>
      </c>
      <c r="C92" t="s">
        <v>82</v>
      </c>
      <c r="D92">
        <v>24407</v>
      </c>
      <c r="E92">
        <v>233</v>
      </c>
      <c r="F92">
        <v>205000</v>
      </c>
      <c r="G92">
        <v>1</v>
      </c>
      <c r="H92">
        <v>557000</v>
      </c>
    </row>
    <row r="93" spans="1:8" x14ac:dyDescent="0.3">
      <c r="A93" t="s">
        <v>35</v>
      </c>
      <c r="B93" t="s">
        <v>11</v>
      </c>
      <c r="C93" t="s">
        <v>83</v>
      </c>
      <c r="D93">
        <v>25191</v>
      </c>
      <c r="E93">
        <v>589</v>
      </c>
      <c r="F93">
        <v>976000</v>
      </c>
      <c r="G93">
        <v>28</v>
      </c>
      <c r="H93">
        <v>10920000</v>
      </c>
    </row>
    <row r="94" spans="1:8" x14ac:dyDescent="0.3">
      <c r="A94" t="s">
        <v>36</v>
      </c>
      <c r="B94" t="s">
        <v>10</v>
      </c>
      <c r="C94" t="s">
        <v>80</v>
      </c>
      <c r="D94">
        <v>14144</v>
      </c>
      <c r="E94">
        <v>1167</v>
      </c>
      <c r="F94">
        <v>3149000</v>
      </c>
      <c r="G94">
        <v>62</v>
      </c>
      <c r="H94">
        <v>26164000</v>
      </c>
    </row>
    <row r="95" spans="1:8" x14ac:dyDescent="0.3">
      <c r="A95" t="s">
        <v>36</v>
      </c>
      <c r="B95" t="s">
        <v>10</v>
      </c>
      <c r="C95" t="s">
        <v>81</v>
      </c>
      <c r="D95">
        <v>12816</v>
      </c>
      <c r="E95">
        <v>460</v>
      </c>
      <c r="F95">
        <v>1968000</v>
      </c>
      <c r="G95">
        <v>13</v>
      </c>
      <c r="H95">
        <v>6916000</v>
      </c>
    </row>
    <row r="96" spans="1:8" x14ac:dyDescent="0.3">
      <c r="A96" t="s">
        <v>36</v>
      </c>
      <c r="B96" t="s">
        <v>11</v>
      </c>
      <c r="C96" t="s">
        <v>82</v>
      </c>
      <c r="D96">
        <v>18384</v>
      </c>
      <c r="E96">
        <v>185</v>
      </c>
      <c r="F96">
        <v>168000</v>
      </c>
      <c r="G96">
        <v>1</v>
      </c>
      <c r="H96">
        <v>360000</v>
      </c>
    </row>
    <row r="97" spans="1:8" x14ac:dyDescent="0.3">
      <c r="A97" t="s">
        <v>36</v>
      </c>
      <c r="B97" t="s">
        <v>11</v>
      </c>
      <c r="C97" t="s">
        <v>83</v>
      </c>
      <c r="D97">
        <v>18096</v>
      </c>
      <c r="E97">
        <v>381</v>
      </c>
      <c r="F97">
        <v>593000</v>
      </c>
      <c r="G97">
        <v>20</v>
      </c>
      <c r="H97">
        <v>11360000</v>
      </c>
    </row>
    <row r="98" spans="1:8" x14ac:dyDescent="0.3">
      <c r="A98" t="s">
        <v>37</v>
      </c>
      <c r="B98" t="s">
        <v>10</v>
      </c>
      <c r="C98" t="s">
        <v>80</v>
      </c>
      <c r="D98">
        <v>8718</v>
      </c>
      <c r="E98">
        <v>634</v>
      </c>
      <c r="F98">
        <v>1738000</v>
      </c>
      <c r="G98">
        <v>32</v>
      </c>
      <c r="H98">
        <v>13536000</v>
      </c>
    </row>
    <row r="99" spans="1:8" x14ac:dyDescent="0.3">
      <c r="A99" t="s">
        <v>37</v>
      </c>
      <c r="B99" t="s">
        <v>10</v>
      </c>
      <c r="C99" t="s">
        <v>81</v>
      </c>
      <c r="D99">
        <v>6542</v>
      </c>
      <c r="E99">
        <v>187</v>
      </c>
      <c r="F99">
        <v>823000</v>
      </c>
      <c r="G99">
        <v>4</v>
      </c>
      <c r="H99">
        <v>1580000</v>
      </c>
    </row>
    <row r="100" spans="1:8" x14ac:dyDescent="0.3">
      <c r="A100" t="s">
        <v>37</v>
      </c>
      <c r="B100" t="s">
        <v>11</v>
      </c>
      <c r="C100" t="s">
        <v>82</v>
      </c>
      <c r="D100">
        <v>25074</v>
      </c>
      <c r="E100">
        <v>203</v>
      </c>
      <c r="F100">
        <v>187000</v>
      </c>
      <c r="G100">
        <v>1</v>
      </c>
      <c r="H100">
        <v>562000</v>
      </c>
    </row>
    <row r="101" spans="1:8" x14ac:dyDescent="0.3">
      <c r="A101" t="s">
        <v>37</v>
      </c>
      <c r="B101" t="s">
        <v>11</v>
      </c>
      <c r="C101" t="s">
        <v>83</v>
      </c>
      <c r="D101">
        <v>27719</v>
      </c>
      <c r="E101">
        <v>559</v>
      </c>
      <c r="F101">
        <v>915000</v>
      </c>
      <c r="G101">
        <v>29</v>
      </c>
      <c r="H101">
        <v>14645000</v>
      </c>
    </row>
    <row r="102" spans="1:8" x14ac:dyDescent="0.3">
      <c r="A102" t="s">
        <v>38</v>
      </c>
      <c r="B102" t="s">
        <v>10</v>
      </c>
      <c r="C102" t="s">
        <v>80</v>
      </c>
      <c r="D102">
        <v>12201</v>
      </c>
      <c r="E102">
        <v>1108</v>
      </c>
      <c r="F102">
        <v>2808000</v>
      </c>
      <c r="G102">
        <v>56</v>
      </c>
      <c r="H102">
        <v>20496000</v>
      </c>
    </row>
    <row r="103" spans="1:8" x14ac:dyDescent="0.3">
      <c r="A103" t="s">
        <v>38</v>
      </c>
      <c r="B103" t="s">
        <v>10</v>
      </c>
      <c r="C103" t="s">
        <v>81</v>
      </c>
      <c r="D103">
        <v>9484</v>
      </c>
      <c r="E103">
        <v>282</v>
      </c>
      <c r="F103">
        <v>1291000</v>
      </c>
      <c r="G103">
        <v>7</v>
      </c>
      <c r="H103">
        <v>3934000</v>
      </c>
    </row>
    <row r="104" spans="1:8" x14ac:dyDescent="0.3">
      <c r="A104" t="s">
        <v>38</v>
      </c>
      <c r="B104" t="s">
        <v>11</v>
      </c>
      <c r="C104" t="s">
        <v>82</v>
      </c>
      <c r="D104">
        <v>30877</v>
      </c>
      <c r="E104">
        <v>267</v>
      </c>
      <c r="F104">
        <v>248000</v>
      </c>
      <c r="G104">
        <v>1</v>
      </c>
      <c r="H104">
        <v>431000</v>
      </c>
    </row>
    <row r="105" spans="1:8" x14ac:dyDescent="0.3">
      <c r="A105" t="s">
        <v>38</v>
      </c>
      <c r="B105" t="s">
        <v>11</v>
      </c>
      <c r="C105" t="s">
        <v>83</v>
      </c>
      <c r="D105">
        <v>31274</v>
      </c>
      <c r="E105">
        <v>701</v>
      </c>
      <c r="F105">
        <v>1134000</v>
      </c>
      <c r="G105">
        <v>35</v>
      </c>
      <c r="H105">
        <v>16590000</v>
      </c>
    </row>
    <row r="106" spans="1:8" x14ac:dyDescent="0.3">
      <c r="A106" t="s">
        <v>39</v>
      </c>
      <c r="B106" t="s">
        <v>10</v>
      </c>
      <c r="C106" t="s">
        <v>80</v>
      </c>
      <c r="D106">
        <v>9486</v>
      </c>
      <c r="E106">
        <v>755</v>
      </c>
      <c r="F106">
        <v>2051000</v>
      </c>
      <c r="G106">
        <v>56</v>
      </c>
      <c r="H106">
        <v>20664000</v>
      </c>
    </row>
    <row r="107" spans="1:8" x14ac:dyDescent="0.3">
      <c r="A107" t="s">
        <v>39</v>
      </c>
      <c r="B107" t="s">
        <v>10</v>
      </c>
      <c r="C107" t="s">
        <v>81</v>
      </c>
      <c r="D107">
        <v>9676</v>
      </c>
      <c r="E107">
        <v>334</v>
      </c>
      <c r="F107">
        <v>1271000</v>
      </c>
      <c r="G107">
        <v>11</v>
      </c>
      <c r="H107">
        <v>5731000</v>
      </c>
    </row>
    <row r="108" spans="1:8" x14ac:dyDescent="0.3">
      <c r="A108" t="s">
        <v>39</v>
      </c>
      <c r="B108" t="s">
        <v>11</v>
      </c>
      <c r="C108" t="s">
        <v>82</v>
      </c>
      <c r="D108">
        <v>27689</v>
      </c>
      <c r="E108">
        <v>242</v>
      </c>
      <c r="F108">
        <v>199000</v>
      </c>
      <c r="G108">
        <v>2</v>
      </c>
      <c r="H108">
        <v>918000</v>
      </c>
    </row>
    <row r="109" spans="1:8" x14ac:dyDescent="0.3">
      <c r="A109" t="s">
        <v>39</v>
      </c>
      <c r="B109" t="s">
        <v>11</v>
      </c>
      <c r="C109" t="s">
        <v>83</v>
      </c>
      <c r="D109">
        <v>15682</v>
      </c>
      <c r="E109">
        <v>328</v>
      </c>
      <c r="F109">
        <v>488000</v>
      </c>
      <c r="G109">
        <v>14</v>
      </c>
      <c r="H109">
        <v>7616000</v>
      </c>
    </row>
    <row r="110" spans="1:8" x14ac:dyDescent="0.3">
      <c r="A110" t="s">
        <v>40</v>
      </c>
      <c r="B110" t="s">
        <v>10</v>
      </c>
      <c r="C110" t="s">
        <v>80</v>
      </c>
      <c r="D110">
        <v>14309</v>
      </c>
      <c r="E110">
        <v>1143</v>
      </c>
      <c r="F110">
        <v>2985000</v>
      </c>
      <c r="G110">
        <v>63</v>
      </c>
      <c r="H110">
        <v>23625000</v>
      </c>
    </row>
    <row r="111" spans="1:8" x14ac:dyDescent="0.3">
      <c r="A111" t="s">
        <v>40</v>
      </c>
      <c r="B111" t="s">
        <v>10</v>
      </c>
      <c r="C111" t="s">
        <v>81</v>
      </c>
      <c r="D111">
        <v>12425</v>
      </c>
      <c r="E111">
        <v>408</v>
      </c>
      <c r="F111">
        <v>1773000</v>
      </c>
      <c r="G111">
        <v>10</v>
      </c>
      <c r="H111">
        <v>4810000</v>
      </c>
    </row>
    <row r="112" spans="1:8" x14ac:dyDescent="0.3">
      <c r="A112" t="s">
        <v>40</v>
      </c>
      <c r="B112" t="s">
        <v>11</v>
      </c>
      <c r="C112" t="s">
        <v>82</v>
      </c>
      <c r="D112">
        <v>13901</v>
      </c>
      <c r="E112">
        <v>125</v>
      </c>
      <c r="F112">
        <v>114000</v>
      </c>
      <c r="G112">
        <v>1</v>
      </c>
      <c r="H112">
        <v>361000</v>
      </c>
    </row>
    <row r="113" spans="1:8" x14ac:dyDescent="0.3">
      <c r="A113" t="s">
        <v>40</v>
      </c>
      <c r="B113" t="s">
        <v>11</v>
      </c>
      <c r="C113" t="s">
        <v>83</v>
      </c>
      <c r="D113">
        <v>27710</v>
      </c>
      <c r="E113">
        <v>565</v>
      </c>
      <c r="F113">
        <v>841000</v>
      </c>
      <c r="G113">
        <v>26</v>
      </c>
      <c r="H113">
        <v>12220000</v>
      </c>
    </row>
    <row r="114" spans="1:8" x14ac:dyDescent="0.3">
      <c r="A114" t="s">
        <v>41</v>
      </c>
      <c r="B114" t="s">
        <v>10</v>
      </c>
      <c r="C114" t="s">
        <v>80</v>
      </c>
      <c r="D114">
        <v>8935</v>
      </c>
      <c r="E114">
        <v>684</v>
      </c>
      <c r="F114">
        <v>1852000</v>
      </c>
      <c r="G114">
        <v>40</v>
      </c>
      <c r="H114">
        <v>20840000</v>
      </c>
    </row>
    <row r="115" spans="1:8" x14ac:dyDescent="0.3">
      <c r="A115" t="s">
        <v>41</v>
      </c>
      <c r="B115" t="s">
        <v>10</v>
      </c>
      <c r="C115" t="s">
        <v>81</v>
      </c>
      <c r="D115">
        <v>13898</v>
      </c>
      <c r="E115">
        <v>467</v>
      </c>
      <c r="F115">
        <v>1943000</v>
      </c>
      <c r="G115">
        <v>12</v>
      </c>
      <c r="H115">
        <v>6792000</v>
      </c>
    </row>
    <row r="116" spans="1:8" x14ac:dyDescent="0.3">
      <c r="A116" t="s">
        <v>41</v>
      </c>
      <c r="B116" t="s">
        <v>11</v>
      </c>
      <c r="C116" t="s">
        <v>82</v>
      </c>
      <c r="D116">
        <v>15459</v>
      </c>
      <c r="E116">
        <v>125</v>
      </c>
      <c r="F116">
        <v>118000</v>
      </c>
      <c r="G116">
        <v>1</v>
      </c>
      <c r="H116">
        <v>511000</v>
      </c>
    </row>
    <row r="117" spans="1:8" x14ac:dyDescent="0.3">
      <c r="A117" t="s">
        <v>41</v>
      </c>
      <c r="B117" t="s">
        <v>11</v>
      </c>
      <c r="C117" t="s">
        <v>83</v>
      </c>
      <c r="D117">
        <v>13365</v>
      </c>
      <c r="E117">
        <v>258</v>
      </c>
      <c r="F117">
        <v>427000</v>
      </c>
      <c r="G117">
        <v>11</v>
      </c>
      <c r="H117">
        <v>5841000</v>
      </c>
    </row>
    <row r="118" spans="1:8" x14ac:dyDescent="0.3">
      <c r="A118" t="s">
        <v>42</v>
      </c>
      <c r="B118" t="s">
        <v>10</v>
      </c>
      <c r="C118" t="s">
        <v>80</v>
      </c>
      <c r="D118">
        <v>11508</v>
      </c>
      <c r="E118">
        <v>1069</v>
      </c>
      <c r="F118">
        <v>2842000</v>
      </c>
      <c r="G118">
        <v>67</v>
      </c>
      <c r="H118">
        <v>29011000</v>
      </c>
    </row>
    <row r="119" spans="1:8" x14ac:dyDescent="0.3">
      <c r="A119" t="s">
        <v>42</v>
      </c>
      <c r="B119" t="s">
        <v>10</v>
      </c>
      <c r="C119" t="s">
        <v>81</v>
      </c>
      <c r="D119">
        <v>14283</v>
      </c>
      <c r="E119">
        <v>499</v>
      </c>
      <c r="F119">
        <v>2170000</v>
      </c>
      <c r="G119">
        <v>16</v>
      </c>
      <c r="H119">
        <v>7056000</v>
      </c>
    </row>
    <row r="120" spans="1:8" x14ac:dyDescent="0.3">
      <c r="A120" t="s">
        <v>42</v>
      </c>
      <c r="B120" t="s">
        <v>11</v>
      </c>
      <c r="C120" t="s">
        <v>82</v>
      </c>
      <c r="D120">
        <v>25546</v>
      </c>
      <c r="E120">
        <v>225</v>
      </c>
      <c r="F120">
        <v>185000</v>
      </c>
      <c r="G120">
        <v>1</v>
      </c>
      <c r="H120">
        <v>368000</v>
      </c>
    </row>
    <row r="121" spans="1:8" x14ac:dyDescent="0.3">
      <c r="A121" t="s">
        <v>42</v>
      </c>
      <c r="B121" t="s">
        <v>11</v>
      </c>
      <c r="C121" t="s">
        <v>83</v>
      </c>
      <c r="D121">
        <v>21293</v>
      </c>
      <c r="E121">
        <v>479</v>
      </c>
      <c r="F121">
        <v>791000</v>
      </c>
      <c r="G121">
        <v>21</v>
      </c>
      <c r="H121">
        <v>11844000</v>
      </c>
    </row>
    <row r="122" spans="1:8" x14ac:dyDescent="0.3">
      <c r="A122" t="s">
        <v>43</v>
      </c>
      <c r="B122" t="s">
        <v>10</v>
      </c>
      <c r="C122" t="s">
        <v>80</v>
      </c>
      <c r="D122">
        <v>13045</v>
      </c>
      <c r="E122">
        <v>1211</v>
      </c>
      <c r="F122">
        <v>3226000</v>
      </c>
      <c r="G122">
        <v>72</v>
      </c>
      <c r="H122">
        <v>35496000</v>
      </c>
    </row>
    <row r="123" spans="1:8" x14ac:dyDescent="0.3">
      <c r="A123" t="s">
        <v>43</v>
      </c>
      <c r="B123" t="s">
        <v>10</v>
      </c>
      <c r="C123" t="s">
        <v>81</v>
      </c>
      <c r="D123">
        <v>11677</v>
      </c>
      <c r="E123">
        <v>318</v>
      </c>
      <c r="F123">
        <v>1405000</v>
      </c>
      <c r="G123">
        <v>8</v>
      </c>
      <c r="H123">
        <v>3368000</v>
      </c>
    </row>
    <row r="124" spans="1:8" x14ac:dyDescent="0.3">
      <c r="A124" t="s">
        <v>43</v>
      </c>
      <c r="B124" t="s">
        <v>11</v>
      </c>
      <c r="C124" t="s">
        <v>82</v>
      </c>
      <c r="D124">
        <v>24154</v>
      </c>
      <c r="E124">
        <v>204</v>
      </c>
      <c r="F124">
        <v>170000</v>
      </c>
      <c r="G124">
        <v>1</v>
      </c>
      <c r="H124">
        <v>430000</v>
      </c>
    </row>
    <row r="125" spans="1:8" x14ac:dyDescent="0.3">
      <c r="A125" t="s">
        <v>43</v>
      </c>
      <c r="B125" t="s">
        <v>11</v>
      </c>
      <c r="C125" t="s">
        <v>83</v>
      </c>
      <c r="D125">
        <v>21612</v>
      </c>
      <c r="E125">
        <v>438</v>
      </c>
      <c r="F125">
        <v>654000</v>
      </c>
      <c r="G125">
        <v>18</v>
      </c>
      <c r="H125">
        <v>8406000</v>
      </c>
    </row>
    <row r="126" spans="1:8" x14ac:dyDescent="0.3">
      <c r="A126" t="s">
        <v>44</v>
      </c>
      <c r="B126" t="s">
        <v>10</v>
      </c>
      <c r="C126" t="s">
        <v>80</v>
      </c>
      <c r="D126">
        <v>7133</v>
      </c>
      <c r="E126">
        <v>574</v>
      </c>
      <c r="F126">
        <v>1573000</v>
      </c>
      <c r="G126">
        <v>34</v>
      </c>
      <c r="H126">
        <v>15300000</v>
      </c>
    </row>
    <row r="127" spans="1:8" x14ac:dyDescent="0.3">
      <c r="A127" t="s">
        <v>44</v>
      </c>
      <c r="B127" t="s">
        <v>10</v>
      </c>
      <c r="C127" t="s">
        <v>81</v>
      </c>
      <c r="D127">
        <v>12200</v>
      </c>
      <c r="E127">
        <v>380</v>
      </c>
      <c r="F127">
        <v>1515000</v>
      </c>
      <c r="G127">
        <v>11</v>
      </c>
      <c r="H127">
        <v>6281000</v>
      </c>
    </row>
    <row r="128" spans="1:8" x14ac:dyDescent="0.3">
      <c r="A128" t="s">
        <v>44</v>
      </c>
      <c r="B128" t="s">
        <v>11</v>
      </c>
      <c r="C128" t="s">
        <v>82</v>
      </c>
      <c r="D128">
        <v>28456</v>
      </c>
      <c r="E128">
        <v>234</v>
      </c>
      <c r="F128">
        <v>213000</v>
      </c>
      <c r="G128">
        <v>1</v>
      </c>
      <c r="H128">
        <v>547000</v>
      </c>
    </row>
    <row r="129" spans="1:8" x14ac:dyDescent="0.3">
      <c r="A129" t="s">
        <v>44</v>
      </c>
      <c r="B129" t="s">
        <v>11</v>
      </c>
      <c r="C129" t="s">
        <v>83</v>
      </c>
      <c r="D129">
        <v>25792</v>
      </c>
      <c r="E129">
        <v>591</v>
      </c>
      <c r="F129">
        <v>857000</v>
      </c>
      <c r="G129">
        <v>25</v>
      </c>
      <c r="H129">
        <v>9375000</v>
      </c>
    </row>
    <row r="130" spans="1:8" x14ac:dyDescent="0.3">
      <c r="A130" t="s">
        <v>45</v>
      </c>
      <c r="B130" t="s">
        <v>10</v>
      </c>
      <c r="C130" t="s">
        <v>80</v>
      </c>
      <c r="D130">
        <v>6935</v>
      </c>
      <c r="E130">
        <v>583</v>
      </c>
      <c r="F130">
        <v>1678000</v>
      </c>
      <c r="G130">
        <v>40</v>
      </c>
      <c r="H130">
        <v>21320000</v>
      </c>
    </row>
    <row r="131" spans="1:8" x14ac:dyDescent="0.3">
      <c r="A131" t="s">
        <v>45</v>
      </c>
      <c r="B131" t="s">
        <v>10</v>
      </c>
      <c r="C131" t="s">
        <v>81</v>
      </c>
      <c r="D131">
        <v>9376</v>
      </c>
      <c r="E131">
        <v>300</v>
      </c>
      <c r="F131">
        <v>1258000</v>
      </c>
      <c r="G131">
        <v>8</v>
      </c>
      <c r="H131">
        <v>2976000</v>
      </c>
    </row>
    <row r="132" spans="1:8" x14ac:dyDescent="0.3">
      <c r="A132" t="s">
        <v>45</v>
      </c>
      <c r="B132" t="s">
        <v>11</v>
      </c>
      <c r="C132" t="s">
        <v>82</v>
      </c>
      <c r="D132">
        <v>17076</v>
      </c>
      <c r="E132">
        <v>133</v>
      </c>
      <c r="F132">
        <v>111000</v>
      </c>
      <c r="G132">
        <v>1</v>
      </c>
      <c r="H132">
        <v>466000</v>
      </c>
    </row>
    <row r="133" spans="1:8" x14ac:dyDescent="0.3">
      <c r="A133" t="s">
        <v>45</v>
      </c>
      <c r="B133" t="s">
        <v>11</v>
      </c>
      <c r="C133" t="s">
        <v>83</v>
      </c>
      <c r="D133">
        <v>29048</v>
      </c>
      <c r="E133">
        <v>642</v>
      </c>
      <c r="F133">
        <v>1031000</v>
      </c>
      <c r="G133">
        <v>28</v>
      </c>
      <c r="H133">
        <v>10388000</v>
      </c>
    </row>
    <row r="134" spans="1:8" x14ac:dyDescent="0.3">
      <c r="A134" t="s">
        <v>46</v>
      </c>
      <c r="B134" t="s">
        <v>10</v>
      </c>
      <c r="C134" t="s">
        <v>80</v>
      </c>
      <c r="D134">
        <v>12887</v>
      </c>
      <c r="E134">
        <v>1021</v>
      </c>
      <c r="F134">
        <v>2773000</v>
      </c>
      <c r="G134">
        <v>56</v>
      </c>
      <c r="H134">
        <v>26040000</v>
      </c>
    </row>
    <row r="135" spans="1:8" x14ac:dyDescent="0.3">
      <c r="A135" t="s">
        <v>46</v>
      </c>
      <c r="B135" t="s">
        <v>10</v>
      </c>
      <c r="C135" t="s">
        <v>81</v>
      </c>
      <c r="D135">
        <v>9484</v>
      </c>
      <c r="E135">
        <v>318</v>
      </c>
      <c r="F135">
        <v>1298000</v>
      </c>
      <c r="G135">
        <v>8</v>
      </c>
      <c r="H135">
        <v>2920000</v>
      </c>
    </row>
    <row r="136" spans="1:8" x14ac:dyDescent="0.3">
      <c r="A136" t="s">
        <v>46</v>
      </c>
      <c r="B136" t="s">
        <v>11</v>
      </c>
      <c r="C136" t="s">
        <v>82</v>
      </c>
      <c r="D136">
        <v>13388</v>
      </c>
      <c r="E136">
        <v>119</v>
      </c>
      <c r="F136">
        <v>100000</v>
      </c>
      <c r="G136">
        <v>1</v>
      </c>
      <c r="H136">
        <v>475000</v>
      </c>
    </row>
    <row r="137" spans="1:8" x14ac:dyDescent="0.3">
      <c r="A137" t="s">
        <v>46</v>
      </c>
      <c r="B137" t="s">
        <v>11</v>
      </c>
      <c r="C137" t="s">
        <v>83</v>
      </c>
      <c r="D137">
        <v>21182</v>
      </c>
      <c r="E137">
        <v>472</v>
      </c>
      <c r="F137">
        <v>776000</v>
      </c>
      <c r="G137">
        <v>22</v>
      </c>
      <c r="H137">
        <v>11880000</v>
      </c>
    </row>
    <row r="138" spans="1:8" x14ac:dyDescent="0.3">
      <c r="A138" t="s">
        <v>47</v>
      </c>
      <c r="B138" t="s">
        <v>10</v>
      </c>
      <c r="C138" t="s">
        <v>80</v>
      </c>
      <c r="D138">
        <v>10520</v>
      </c>
      <c r="E138">
        <v>800</v>
      </c>
      <c r="F138">
        <v>2281000</v>
      </c>
      <c r="G138">
        <v>45</v>
      </c>
      <c r="H138">
        <v>21825000</v>
      </c>
    </row>
    <row r="139" spans="1:8" x14ac:dyDescent="0.3">
      <c r="A139" t="s">
        <v>47</v>
      </c>
      <c r="B139" t="s">
        <v>10</v>
      </c>
      <c r="C139" t="s">
        <v>81</v>
      </c>
      <c r="D139">
        <v>14210</v>
      </c>
      <c r="E139">
        <v>459</v>
      </c>
      <c r="F139">
        <v>1876000</v>
      </c>
      <c r="G139">
        <v>13</v>
      </c>
      <c r="H139">
        <v>6409000</v>
      </c>
    </row>
    <row r="140" spans="1:8" x14ac:dyDescent="0.3">
      <c r="A140" t="s">
        <v>47</v>
      </c>
      <c r="B140" t="s">
        <v>11</v>
      </c>
      <c r="C140" t="s">
        <v>82</v>
      </c>
      <c r="D140">
        <v>21208</v>
      </c>
      <c r="E140">
        <v>191</v>
      </c>
      <c r="F140">
        <v>176000</v>
      </c>
      <c r="G140">
        <v>1</v>
      </c>
      <c r="H140">
        <v>548000</v>
      </c>
    </row>
    <row r="141" spans="1:8" x14ac:dyDescent="0.3">
      <c r="A141" t="s">
        <v>47</v>
      </c>
      <c r="B141" t="s">
        <v>11</v>
      </c>
      <c r="C141" t="s">
        <v>83</v>
      </c>
      <c r="D141">
        <v>14023</v>
      </c>
      <c r="E141">
        <v>327</v>
      </c>
      <c r="F141">
        <v>561000</v>
      </c>
      <c r="G141">
        <v>15</v>
      </c>
      <c r="H141">
        <v>7755000</v>
      </c>
    </row>
    <row r="142" spans="1:8" x14ac:dyDescent="0.3">
      <c r="A142" t="s">
        <v>48</v>
      </c>
      <c r="B142" t="s">
        <v>10</v>
      </c>
      <c r="C142" t="s">
        <v>80</v>
      </c>
      <c r="D142">
        <v>14231</v>
      </c>
      <c r="E142">
        <v>1203</v>
      </c>
      <c r="F142">
        <v>3283000</v>
      </c>
      <c r="G142">
        <v>60</v>
      </c>
      <c r="H142">
        <v>22620000</v>
      </c>
    </row>
    <row r="143" spans="1:8" x14ac:dyDescent="0.3">
      <c r="A143" t="s">
        <v>48</v>
      </c>
      <c r="B143" t="s">
        <v>10</v>
      </c>
      <c r="C143" t="s">
        <v>81</v>
      </c>
      <c r="D143">
        <v>9902</v>
      </c>
      <c r="E143">
        <v>349</v>
      </c>
      <c r="F143">
        <v>1507000</v>
      </c>
      <c r="G143">
        <v>11</v>
      </c>
      <c r="H143">
        <v>6193000</v>
      </c>
    </row>
    <row r="144" spans="1:8" x14ac:dyDescent="0.3">
      <c r="A144" t="s">
        <v>48</v>
      </c>
      <c r="B144" t="s">
        <v>11</v>
      </c>
      <c r="C144" t="s">
        <v>82</v>
      </c>
      <c r="D144">
        <v>31419</v>
      </c>
      <c r="E144">
        <v>291</v>
      </c>
      <c r="F144">
        <v>286000</v>
      </c>
      <c r="G144">
        <v>2</v>
      </c>
      <c r="H144">
        <v>1138000</v>
      </c>
    </row>
    <row r="145" spans="1:8" x14ac:dyDescent="0.3">
      <c r="A145" t="s">
        <v>48</v>
      </c>
      <c r="B145" t="s">
        <v>11</v>
      </c>
      <c r="C145" t="s">
        <v>83</v>
      </c>
      <c r="D145">
        <v>15686</v>
      </c>
      <c r="E145">
        <v>360</v>
      </c>
      <c r="F145">
        <v>612000</v>
      </c>
      <c r="G145">
        <v>18</v>
      </c>
      <c r="H145">
        <v>9846000</v>
      </c>
    </row>
    <row r="146" spans="1:8" x14ac:dyDescent="0.3">
      <c r="A146" t="s">
        <v>49</v>
      </c>
      <c r="B146" t="s">
        <v>10</v>
      </c>
      <c r="C146" t="s">
        <v>80</v>
      </c>
      <c r="D146">
        <v>12630</v>
      </c>
      <c r="E146">
        <v>981</v>
      </c>
      <c r="F146">
        <v>2681000</v>
      </c>
      <c r="G146">
        <v>69</v>
      </c>
      <c r="H146">
        <v>34776000</v>
      </c>
    </row>
    <row r="147" spans="1:8" x14ac:dyDescent="0.3">
      <c r="A147" t="s">
        <v>49</v>
      </c>
      <c r="B147" t="s">
        <v>10</v>
      </c>
      <c r="C147" t="s">
        <v>81</v>
      </c>
      <c r="D147">
        <v>9485</v>
      </c>
      <c r="E147">
        <v>344</v>
      </c>
      <c r="F147">
        <v>1482000</v>
      </c>
      <c r="G147">
        <v>8</v>
      </c>
      <c r="H147">
        <v>3184000</v>
      </c>
    </row>
    <row r="148" spans="1:8" x14ac:dyDescent="0.3">
      <c r="A148" t="s">
        <v>49</v>
      </c>
      <c r="B148" t="s">
        <v>11</v>
      </c>
      <c r="C148" t="s">
        <v>82</v>
      </c>
      <c r="D148">
        <v>26348</v>
      </c>
      <c r="E148">
        <v>234</v>
      </c>
      <c r="F148">
        <v>197000</v>
      </c>
      <c r="G148">
        <v>2</v>
      </c>
      <c r="H148">
        <v>852000</v>
      </c>
    </row>
    <row r="149" spans="1:8" x14ac:dyDescent="0.3">
      <c r="A149" t="s">
        <v>49</v>
      </c>
      <c r="B149" t="s">
        <v>11</v>
      </c>
      <c r="C149" t="s">
        <v>83</v>
      </c>
      <c r="D149">
        <v>15359</v>
      </c>
      <c r="E149">
        <v>352</v>
      </c>
      <c r="F149">
        <v>586000</v>
      </c>
      <c r="G149">
        <v>14</v>
      </c>
      <c r="H149">
        <v>6076000</v>
      </c>
    </row>
    <row r="150" spans="1:8" x14ac:dyDescent="0.3">
      <c r="A150" t="s">
        <v>50</v>
      </c>
      <c r="B150" t="s">
        <v>10</v>
      </c>
      <c r="C150" t="s">
        <v>80</v>
      </c>
      <c r="D150">
        <v>8747</v>
      </c>
      <c r="E150">
        <v>831</v>
      </c>
      <c r="F150">
        <v>2211000</v>
      </c>
      <c r="G150">
        <v>48</v>
      </c>
      <c r="H150">
        <v>18240000</v>
      </c>
    </row>
    <row r="151" spans="1:8" x14ac:dyDescent="0.3">
      <c r="A151" t="s">
        <v>50</v>
      </c>
      <c r="B151" t="s">
        <v>10</v>
      </c>
      <c r="C151" t="s">
        <v>81</v>
      </c>
      <c r="D151">
        <v>6879</v>
      </c>
      <c r="E151">
        <v>198</v>
      </c>
      <c r="F151">
        <v>860000</v>
      </c>
      <c r="G151">
        <v>6</v>
      </c>
      <c r="H151">
        <v>2670000</v>
      </c>
    </row>
    <row r="152" spans="1:8" x14ac:dyDescent="0.3">
      <c r="A152" t="s">
        <v>50</v>
      </c>
      <c r="B152" t="s">
        <v>11</v>
      </c>
      <c r="C152" t="s">
        <v>82</v>
      </c>
      <c r="D152">
        <v>25326</v>
      </c>
      <c r="E152">
        <v>253</v>
      </c>
      <c r="F152">
        <v>227000</v>
      </c>
      <c r="G152">
        <v>2</v>
      </c>
      <c r="H152">
        <v>786000</v>
      </c>
    </row>
    <row r="153" spans="1:8" x14ac:dyDescent="0.3">
      <c r="A153" t="s">
        <v>50</v>
      </c>
      <c r="B153" t="s">
        <v>11</v>
      </c>
      <c r="C153" t="s">
        <v>83</v>
      </c>
      <c r="D153">
        <v>14289</v>
      </c>
      <c r="E153">
        <v>260</v>
      </c>
      <c r="F153">
        <v>401000</v>
      </c>
      <c r="G153">
        <v>10</v>
      </c>
      <c r="H153">
        <v>5640000</v>
      </c>
    </row>
    <row r="154" spans="1:8" x14ac:dyDescent="0.3">
      <c r="A154" t="s">
        <v>51</v>
      </c>
      <c r="B154" t="s">
        <v>10</v>
      </c>
      <c r="C154" t="s">
        <v>80</v>
      </c>
      <c r="D154">
        <v>14161</v>
      </c>
      <c r="E154">
        <v>1097</v>
      </c>
      <c r="F154">
        <v>2920000</v>
      </c>
      <c r="G154">
        <v>64</v>
      </c>
      <c r="H154">
        <v>34176000</v>
      </c>
    </row>
    <row r="155" spans="1:8" x14ac:dyDescent="0.3">
      <c r="A155" t="s">
        <v>51</v>
      </c>
      <c r="B155" t="s">
        <v>10</v>
      </c>
      <c r="C155" t="s">
        <v>81</v>
      </c>
      <c r="D155">
        <v>13985</v>
      </c>
      <c r="E155">
        <v>465</v>
      </c>
      <c r="F155">
        <v>1791000</v>
      </c>
      <c r="G155">
        <v>12</v>
      </c>
      <c r="H155">
        <v>6324000</v>
      </c>
    </row>
    <row r="156" spans="1:8" x14ac:dyDescent="0.3">
      <c r="A156" t="s">
        <v>51</v>
      </c>
      <c r="B156" t="s">
        <v>11</v>
      </c>
      <c r="C156" t="s">
        <v>82</v>
      </c>
      <c r="D156">
        <v>23806</v>
      </c>
      <c r="E156">
        <v>195</v>
      </c>
      <c r="F156">
        <v>165000</v>
      </c>
      <c r="G156">
        <v>1</v>
      </c>
      <c r="H156">
        <v>538000</v>
      </c>
    </row>
    <row r="157" spans="1:8" x14ac:dyDescent="0.3">
      <c r="A157" t="s">
        <v>51</v>
      </c>
      <c r="B157" t="s">
        <v>11</v>
      </c>
      <c r="C157" t="s">
        <v>83</v>
      </c>
      <c r="D157">
        <v>30257</v>
      </c>
      <c r="E157">
        <v>703</v>
      </c>
      <c r="F157">
        <v>1216000</v>
      </c>
      <c r="G157">
        <v>29</v>
      </c>
      <c r="H157">
        <v>12296000</v>
      </c>
    </row>
    <row r="158" spans="1:8" x14ac:dyDescent="0.3">
      <c r="A158" t="s">
        <v>52</v>
      </c>
      <c r="B158" t="s">
        <v>10</v>
      </c>
      <c r="C158" t="s">
        <v>80</v>
      </c>
      <c r="D158">
        <v>12627</v>
      </c>
      <c r="E158">
        <v>1028</v>
      </c>
      <c r="F158">
        <v>2606000</v>
      </c>
      <c r="G158">
        <v>72</v>
      </c>
      <c r="H158">
        <v>38376000</v>
      </c>
    </row>
    <row r="159" spans="1:8" x14ac:dyDescent="0.3">
      <c r="A159" t="s">
        <v>52</v>
      </c>
      <c r="B159" t="s">
        <v>10</v>
      </c>
      <c r="C159" t="s">
        <v>81</v>
      </c>
      <c r="D159">
        <v>11498</v>
      </c>
      <c r="E159">
        <v>370</v>
      </c>
      <c r="F159">
        <v>1636000</v>
      </c>
      <c r="G159">
        <v>11</v>
      </c>
      <c r="H159">
        <v>5984000</v>
      </c>
    </row>
    <row r="160" spans="1:8" x14ac:dyDescent="0.3">
      <c r="A160" t="s">
        <v>52</v>
      </c>
      <c r="B160" t="s">
        <v>11</v>
      </c>
      <c r="C160" t="s">
        <v>82</v>
      </c>
      <c r="D160">
        <v>27121</v>
      </c>
      <c r="E160">
        <v>225</v>
      </c>
      <c r="F160">
        <v>185000</v>
      </c>
      <c r="G160">
        <v>1</v>
      </c>
      <c r="H160">
        <v>518000</v>
      </c>
    </row>
    <row r="161" spans="1:8" x14ac:dyDescent="0.3">
      <c r="A161" t="s">
        <v>52</v>
      </c>
      <c r="B161" t="s">
        <v>11</v>
      </c>
      <c r="C161" t="s">
        <v>83</v>
      </c>
      <c r="D161">
        <v>31335</v>
      </c>
      <c r="E161">
        <v>634</v>
      </c>
      <c r="F161">
        <v>939000</v>
      </c>
      <c r="G161">
        <v>35</v>
      </c>
      <c r="H161">
        <v>16415000</v>
      </c>
    </row>
    <row r="162" spans="1:8" x14ac:dyDescent="0.3">
      <c r="A162" t="s">
        <v>53</v>
      </c>
      <c r="B162" t="s">
        <v>10</v>
      </c>
      <c r="C162" t="s">
        <v>80</v>
      </c>
      <c r="D162">
        <v>7609</v>
      </c>
      <c r="E162">
        <v>667</v>
      </c>
      <c r="F162">
        <v>1871000</v>
      </c>
      <c r="G162">
        <v>45</v>
      </c>
      <c r="H162">
        <v>19080000</v>
      </c>
    </row>
    <row r="163" spans="1:8" x14ac:dyDescent="0.3">
      <c r="A163" t="s">
        <v>53</v>
      </c>
      <c r="B163" t="s">
        <v>10</v>
      </c>
      <c r="C163" t="s">
        <v>81</v>
      </c>
      <c r="D163">
        <v>9801</v>
      </c>
      <c r="E163">
        <v>308</v>
      </c>
      <c r="F163">
        <v>1214000</v>
      </c>
      <c r="G163">
        <v>7</v>
      </c>
      <c r="H163">
        <v>3717000</v>
      </c>
    </row>
    <row r="164" spans="1:8" x14ac:dyDescent="0.3">
      <c r="A164" t="s">
        <v>53</v>
      </c>
      <c r="B164" t="s">
        <v>11</v>
      </c>
      <c r="C164" t="s">
        <v>82</v>
      </c>
      <c r="D164">
        <v>27002</v>
      </c>
      <c r="E164">
        <v>212</v>
      </c>
      <c r="F164">
        <v>183000</v>
      </c>
      <c r="G164">
        <v>1</v>
      </c>
      <c r="H164">
        <v>441000</v>
      </c>
    </row>
    <row r="165" spans="1:8" x14ac:dyDescent="0.3">
      <c r="A165" t="s">
        <v>53</v>
      </c>
      <c r="B165" t="s">
        <v>11</v>
      </c>
      <c r="C165" t="s">
        <v>83</v>
      </c>
      <c r="D165">
        <v>16323</v>
      </c>
      <c r="E165">
        <v>296</v>
      </c>
      <c r="F165">
        <v>501000</v>
      </c>
      <c r="G165">
        <v>13</v>
      </c>
      <c r="H165">
        <v>7358000</v>
      </c>
    </row>
    <row r="166" spans="1:8" x14ac:dyDescent="0.3">
      <c r="A166" t="s">
        <v>54</v>
      </c>
      <c r="B166" t="s">
        <v>10</v>
      </c>
      <c r="C166" t="s">
        <v>80</v>
      </c>
      <c r="D166">
        <v>7550</v>
      </c>
      <c r="E166">
        <v>685</v>
      </c>
      <c r="F166">
        <v>1865000</v>
      </c>
      <c r="G166">
        <v>42</v>
      </c>
      <c r="H166">
        <v>22722000</v>
      </c>
    </row>
    <row r="167" spans="1:8" x14ac:dyDescent="0.3">
      <c r="A167" t="s">
        <v>54</v>
      </c>
      <c r="B167" t="s">
        <v>10</v>
      </c>
      <c r="C167" t="s">
        <v>81</v>
      </c>
      <c r="D167">
        <v>11196</v>
      </c>
      <c r="E167">
        <v>338</v>
      </c>
      <c r="F167">
        <v>1380000</v>
      </c>
      <c r="G167">
        <v>10</v>
      </c>
      <c r="H167">
        <v>5560000</v>
      </c>
    </row>
    <row r="168" spans="1:8" x14ac:dyDescent="0.3">
      <c r="A168" t="s">
        <v>54</v>
      </c>
      <c r="B168" t="s">
        <v>11</v>
      </c>
      <c r="C168" t="s">
        <v>82</v>
      </c>
      <c r="D168">
        <v>14837</v>
      </c>
      <c r="E168">
        <v>152</v>
      </c>
      <c r="F168">
        <v>126000</v>
      </c>
      <c r="G168">
        <v>1</v>
      </c>
      <c r="H168">
        <v>490000</v>
      </c>
    </row>
    <row r="169" spans="1:8" x14ac:dyDescent="0.3">
      <c r="A169" t="s">
        <v>54</v>
      </c>
      <c r="B169" t="s">
        <v>11</v>
      </c>
      <c r="C169" t="s">
        <v>83</v>
      </c>
      <c r="D169">
        <v>27064</v>
      </c>
      <c r="E169">
        <v>607</v>
      </c>
      <c r="F169">
        <v>963000</v>
      </c>
      <c r="G169">
        <v>31</v>
      </c>
      <c r="H169">
        <v>16864000</v>
      </c>
    </row>
    <row r="170" spans="1:8" x14ac:dyDescent="0.3">
      <c r="A170" t="s">
        <v>55</v>
      </c>
      <c r="B170" t="s">
        <v>10</v>
      </c>
      <c r="C170" t="s">
        <v>80</v>
      </c>
      <c r="D170">
        <v>7783</v>
      </c>
      <c r="E170">
        <v>686</v>
      </c>
      <c r="F170">
        <v>1800000</v>
      </c>
      <c r="G170">
        <v>46</v>
      </c>
      <c r="H170">
        <v>22494000</v>
      </c>
    </row>
    <row r="171" spans="1:8" x14ac:dyDescent="0.3">
      <c r="A171" t="s">
        <v>55</v>
      </c>
      <c r="B171" t="s">
        <v>10</v>
      </c>
      <c r="C171" t="s">
        <v>81</v>
      </c>
      <c r="D171">
        <v>12458</v>
      </c>
      <c r="E171">
        <v>387</v>
      </c>
      <c r="F171">
        <v>1544000</v>
      </c>
      <c r="G171">
        <v>9</v>
      </c>
      <c r="H171">
        <v>4104000</v>
      </c>
    </row>
    <row r="172" spans="1:8" x14ac:dyDescent="0.3">
      <c r="A172" t="s">
        <v>55</v>
      </c>
      <c r="B172" t="s">
        <v>11</v>
      </c>
      <c r="C172" t="s">
        <v>82</v>
      </c>
      <c r="D172">
        <v>26737</v>
      </c>
      <c r="E172">
        <v>233</v>
      </c>
      <c r="F172">
        <v>194000</v>
      </c>
      <c r="G172">
        <v>2</v>
      </c>
      <c r="H172">
        <v>1048000</v>
      </c>
    </row>
    <row r="173" spans="1:8" x14ac:dyDescent="0.3">
      <c r="A173" t="s">
        <v>55</v>
      </c>
      <c r="B173" t="s">
        <v>11</v>
      </c>
      <c r="C173" t="s">
        <v>83</v>
      </c>
      <c r="D173">
        <v>23769</v>
      </c>
      <c r="E173">
        <v>573</v>
      </c>
      <c r="F173">
        <v>992000</v>
      </c>
      <c r="G173">
        <v>31</v>
      </c>
      <c r="H173">
        <v>14508000</v>
      </c>
    </row>
    <row r="174" spans="1:8" x14ac:dyDescent="0.3">
      <c r="A174" t="s">
        <v>56</v>
      </c>
      <c r="B174" t="s">
        <v>10</v>
      </c>
      <c r="C174" t="s">
        <v>80</v>
      </c>
      <c r="D174">
        <v>10147</v>
      </c>
      <c r="E174">
        <v>791</v>
      </c>
      <c r="F174">
        <v>2220000</v>
      </c>
      <c r="G174">
        <v>46</v>
      </c>
      <c r="H174">
        <v>24150000</v>
      </c>
    </row>
    <row r="175" spans="1:8" x14ac:dyDescent="0.3">
      <c r="A175" t="s">
        <v>56</v>
      </c>
      <c r="B175" t="s">
        <v>10</v>
      </c>
      <c r="C175" t="s">
        <v>81</v>
      </c>
      <c r="D175">
        <v>10959</v>
      </c>
      <c r="E175">
        <v>322</v>
      </c>
      <c r="F175">
        <v>1462000</v>
      </c>
      <c r="G175">
        <v>9</v>
      </c>
      <c r="H175">
        <v>4293000</v>
      </c>
    </row>
    <row r="176" spans="1:8" x14ac:dyDescent="0.3">
      <c r="A176" t="s">
        <v>56</v>
      </c>
      <c r="B176" t="s">
        <v>11</v>
      </c>
      <c r="C176" t="s">
        <v>82</v>
      </c>
      <c r="D176">
        <v>21587</v>
      </c>
      <c r="E176">
        <v>192</v>
      </c>
      <c r="F176">
        <v>181000</v>
      </c>
      <c r="G176">
        <v>1</v>
      </c>
      <c r="H176">
        <v>422000</v>
      </c>
    </row>
    <row r="177" spans="1:8" x14ac:dyDescent="0.3">
      <c r="A177" t="s">
        <v>56</v>
      </c>
      <c r="B177" t="s">
        <v>11</v>
      </c>
      <c r="C177" t="s">
        <v>83</v>
      </c>
      <c r="D177">
        <v>28755</v>
      </c>
      <c r="E177">
        <v>557</v>
      </c>
      <c r="F177">
        <v>917000</v>
      </c>
      <c r="G177">
        <v>29</v>
      </c>
      <c r="H177">
        <v>15892000</v>
      </c>
    </row>
    <row r="178" spans="1:8" x14ac:dyDescent="0.3">
      <c r="A178" t="s">
        <v>57</v>
      </c>
      <c r="B178" t="s">
        <v>10</v>
      </c>
      <c r="C178" t="s">
        <v>80</v>
      </c>
      <c r="D178">
        <v>10001</v>
      </c>
      <c r="E178">
        <v>826</v>
      </c>
      <c r="F178">
        <v>2178000</v>
      </c>
      <c r="G178">
        <v>51</v>
      </c>
      <c r="H178">
        <v>29070000</v>
      </c>
    </row>
    <row r="179" spans="1:8" x14ac:dyDescent="0.3">
      <c r="A179" t="s">
        <v>57</v>
      </c>
      <c r="B179" t="s">
        <v>10</v>
      </c>
      <c r="C179" t="s">
        <v>81</v>
      </c>
      <c r="D179">
        <v>7991</v>
      </c>
      <c r="E179">
        <v>237</v>
      </c>
      <c r="F179">
        <v>1063000</v>
      </c>
      <c r="G179">
        <v>7</v>
      </c>
      <c r="H179">
        <v>2786000</v>
      </c>
    </row>
    <row r="180" spans="1:8" x14ac:dyDescent="0.3">
      <c r="A180" t="s">
        <v>57</v>
      </c>
      <c r="B180" t="s">
        <v>11</v>
      </c>
      <c r="C180" t="s">
        <v>82</v>
      </c>
      <c r="D180">
        <v>19074</v>
      </c>
      <c r="E180">
        <v>169</v>
      </c>
      <c r="F180">
        <v>156000</v>
      </c>
      <c r="G180">
        <v>1</v>
      </c>
      <c r="H180">
        <v>376000</v>
      </c>
    </row>
    <row r="181" spans="1:8" x14ac:dyDescent="0.3">
      <c r="A181" t="s">
        <v>57</v>
      </c>
      <c r="B181" t="s">
        <v>11</v>
      </c>
      <c r="C181" t="s">
        <v>83</v>
      </c>
      <c r="D181">
        <v>32241</v>
      </c>
      <c r="E181">
        <v>667</v>
      </c>
      <c r="F181">
        <v>1044000</v>
      </c>
      <c r="G181">
        <v>31</v>
      </c>
      <c r="H181">
        <v>13206000</v>
      </c>
    </row>
    <row r="182" spans="1:8" x14ac:dyDescent="0.3">
      <c r="A182" t="s">
        <v>58</v>
      </c>
      <c r="B182" t="s">
        <v>10</v>
      </c>
      <c r="C182" t="s">
        <v>80</v>
      </c>
      <c r="D182">
        <v>8611</v>
      </c>
      <c r="E182">
        <v>812</v>
      </c>
      <c r="F182">
        <v>2241000</v>
      </c>
      <c r="G182">
        <v>52</v>
      </c>
      <c r="H182">
        <v>19084000</v>
      </c>
    </row>
    <row r="183" spans="1:8" x14ac:dyDescent="0.3">
      <c r="A183" t="s">
        <v>58</v>
      </c>
      <c r="B183" t="s">
        <v>10</v>
      </c>
      <c r="C183" t="s">
        <v>81</v>
      </c>
      <c r="D183">
        <v>10392</v>
      </c>
      <c r="E183">
        <v>360</v>
      </c>
      <c r="F183">
        <v>1630000</v>
      </c>
      <c r="G183">
        <v>10</v>
      </c>
      <c r="H183">
        <v>4580000</v>
      </c>
    </row>
    <row r="184" spans="1:8" x14ac:dyDescent="0.3">
      <c r="A184" t="s">
        <v>58</v>
      </c>
      <c r="B184" t="s">
        <v>11</v>
      </c>
      <c r="C184" t="s">
        <v>82</v>
      </c>
      <c r="D184">
        <v>15942</v>
      </c>
      <c r="E184">
        <v>142</v>
      </c>
      <c r="F184">
        <v>135000</v>
      </c>
      <c r="G184">
        <v>1</v>
      </c>
      <c r="H184">
        <v>382000</v>
      </c>
    </row>
    <row r="185" spans="1:8" x14ac:dyDescent="0.3">
      <c r="A185" t="s">
        <v>58</v>
      </c>
      <c r="B185" t="s">
        <v>11</v>
      </c>
      <c r="C185" t="s">
        <v>83</v>
      </c>
      <c r="D185">
        <v>25987</v>
      </c>
      <c r="E185">
        <v>486</v>
      </c>
      <c r="F185">
        <v>762000</v>
      </c>
      <c r="G185">
        <v>22</v>
      </c>
      <c r="H185">
        <v>12188000</v>
      </c>
    </row>
    <row r="186" spans="1:8" x14ac:dyDescent="0.3">
      <c r="A186" t="s">
        <v>59</v>
      </c>
      <c r="B186" t="s">
        <v>10</v>
      </c>
      <c r="C186" t="s">
        <v>80</v>
      </c>
      <c r="D186">
        <v>10104</v>
      </c>
      <c r="E186">
        <v>883</v>
      </c>
      <c r="F186">
        <v>2590000</v>
      </c>
      <c r="G186">
        <v>47</v>
      </c>
      <c r="H186">
        <v>18001000</v>
      </c>
    </row>
    <row r="187" spans="1:8" x14ac:dyDescent="0.3">
      <c r="A187" t="s">
        <v>59</v>
      </c>
      <c r="B187" t="s">
        <v>10</v>
      </c>
      <c r="C187" t="s">
        <v>81</v>
      </c>
      <c r="D187">
        <v>10789</v>
      </c>
      <c r="E187">
        <v>393</v>
      </c>
      <c r="F187">
        <v>1580000</v>
      </c>
      <c r="G187">
        <v>10</v>
      </c>
      <c r="H187">
        <v>4350000</v>
      </c>
    </row>
    <row r="188" spans="1:8" x14ac:dyDescent="0.3">
      <c r="A188" t="s">
        <v>59</v>
      </c>
      <c r="B188" t="s">
        <v>11</v>
      </c>
      <c r="C188" t="s">
        <v>82</v>
      </c>
      <c r="D188">
        <v>27175</v>
      </c>
      <c r="E188">
        <v>255</v>
      </c>
      <c r="F188">
        <v>238000</v>
      </c>
      <c r="G188">
        <v>1</v>
      </c>
      <c r="H188">
        <v>388000</v>
      </c>
    </row>
    <row r="189" spans="1:8" x14ac:dyDescent="0.3">
      <c r="A189" t="s">
        <v>59</v>
      </c>
      <c r="B189" t="s">
        <v>11</v>
      </c>
      <c r="C189" t="s">
        <v>83</v>
      </c>
      <c r="D189">
        <v>15692</v>
      </c>
      <c r="E189">
        <v>297</v>
      </c>
      <c r="F189">
        <v>443000</v>
      </c>
      <c r="G189">
        <v>13</v>
      </c>
      <c r="H189">
        <v>6331000</v>
      </c>
    </row>
    <row r="190" spans="1:8" x14ac:dyDescent="0.3">
      <c r="A190" t="s">
        <v>60</v>
      </c>
      <c r="B190" t="s">
        <v>10</v>
      </c>
      <c r="C190" t="s">
        <v>80</v>
      </c>
      <c r="D190">
        <v>6620</v>
      </c>
      <c r="E190">
        <v>480</v>
      </c>
      <c r="F190">
        <v>1227000</v>
      </c>
      <c r="G190">
        <v>26</v>
      </c>
      <c r="H190">
        <v>14404000</v>
      </c>
    </row>
    <row r="191" spans="1:8" x14ac:dyDescent="0.3">
      <c r="A191" t="s">
        <v>60</v>
      </c>
      <c r="B191" t="s">
        <v>10</v>
      </c>
      <c r="C191" t="s">
        <v>81</v>
      </c>
      <c r="D191">
        <v>7722</v>
      </c>
      <c r="E191">
        <v>274</v>
      </c>
      <c r="F191">
        <v>1038000</v>
      </c>
      <c r="G191">
        <v>7</v>
      </c>
      <c r="H191">
        <v>2576000</v>
      </c>
    </row>
    <row r="192" spans="1:8" x14ac:dyDescent="0.3">
      <c r="A192" t="s">
        <v>60</v>
      </c>
      <c r="B192" t="s">
        <v>11</v>
      </c>
      <c r="C192" t="s">
        <v>82</v>
      </c>
      <c r="D192">
        <v>15743</v>
      </c>
      <c r="E192">
        <v>130</v>
      </c>
      <c r="F192">
        <v>122000</v>
      </c>
      <c r="G192">
        <v>1</v>
      </c>
      <c r="H192">
        <v>486000</v>
      </c>
    </row>
    <row r="193" spans="1:8" x14ac:dyDescent="0.3">
      <c r="A193" t="s">
        <v>60</v>
      </c>
      <c r="B193" t="s">
        <v>11</v>
      </c>
      <c r="C193" t="s">
        <v>83</v>
      </c>
      <c r="D193">
        <v>16065</v>
      </c>
      <c r="E193">
        <v>355</v>
      </c>
      <c r="F193">
        <v>571000</v>
      </c>
      <c r="G193">
        <v>19</v>
      </c>
      <c r="H193">
        <v>10982000</v>
      </c>
    </row>
    <row r="194" spans="1:8" x14ac:dyDescent="0.3">
      <c r="A194" t="s">
        <v>61</v>
      </c>
      <c r="B194" t="s">
        <v>10</v>
      </c>
      <c r="C194" t="s">
        <v>80</v>
      </c>
      <c r="D194">
        <v>9036</v>
      </c>
      <c r="E194">
        <v>762</v>
      </c>
      <c r="F194">
        <v>2223000</v>
      </c>
      <c r="G194">
        <v>54</v>
      </c>
      <c r="H194">
        <v>28944000</v>
      </c>
    </row>
    <row r="195" spans="1:8" x14ac:dyDescent="0.3">
      <c r="A195" t="s">
        <v>61</v>
      </c>
      <c r="B195" t="s">
        <v>10</v>
      </c>
      <c r="C195" t="s">
        <v>81</v>
      </c>
      <c r="D195">
        <v>7300</v>
      </c>
      <c r="E195">
        <v>244</v>
      </c>
      <c r="F195">
        <v>1078000</v>
      </c>
      <c r="G195">
        <v>7</v>
      </c>
      <c r="H195">
        <v>3710000</v>
      </c>
    </row>
    <row r="196" spans="1:8" x14ac:dyDescent="0.3">
      <c r="A196" t="s">
        <v>61</v>
      </c>
      <c r="B196" t="s">
        <v>11</v>
      </c>
      <c r="C196" t="s">
        <v>82</v>
      </c>
      <c r="D196">
        <v>28658</v>
      </c>
      <c r="E196">
        <v>250</v>
      </c>
      <c r="F196">
        <v>244000</v>
      </c>
      <c r="G196">
        <v>2</v>
      </c>
      <c r="H196">
        <v>1000000</v>
      </c>
    </row>
    <row r="197" spans="1:8" x14ac:dyDescent="0.3">
      <c r="A197" t="s">
        <v>61</v>
      </c>
      <c r="B197" t="s">
        <v>11</v>
      </c>
      <c r="C197" t="s">
        <v>83</v>
      </c>
      <c r="D197">
        <v>31534</v>
      </c>
      <c r="E197">
        <v>669</v>
      </c>
      <c r="F197">
        <v>1146000</v>
      </c>
      <c r="G197">
        <v>27</v>
      </c>
      <c r="H197">
        <v>12312000</v>
      </c>
    </row>
    <row r="198" spans="1:8" x14ac:dyDescent="0.3">
      <c r="A198" t="s">
        <v>62</v>
      </c>
      <c r="B198" t="s">
        <v>10</v>
      </c>
      <c r="C198" t="s">
        <v>80</v>
      </c>
      <c r="D198">
        <v>6833</v>
      </c>
      <c r="E198">
        <v>586</v>
      </c>
      <c r="F198">
        <v>1794000</v>
      </c>
      <c r="G198">
        <v>39</v>
      </c>
      <c r="H198">
        <v>21606000</v>
      </c>
    </row>
    <row r="199" spans="1:8" x14ac:dyDescent="0.3">
      <c r="A199" t="s">
        <v>62</v>
      </c>
      <c r="B199" t="s">
        <v>10</v>
      </c>
      <c r="C199" t="s">
        <v>81</v>
      </c>
      <c r="D199">
        <v>12095</v>
      </c>
      <c r="E199">
        <v>365</v>
      </c>
      <c r="F199">
        <v>1540000</v>
      </c>
      <c r="G199">
        <v>9</v>
      </c>
      <c r="H199">
        <v>4797000</v>
      </c>
    </row>
    <row r="200" spans="1:8" x14ac:dyDescent="0.3">
      <c r="A200" t="s">
        <v>62</v>
      </c>
      <c r="B200" t="s">
        <v>11</v>
      </c>
      <c r="C200" t="s">
        <v>82</v>
      </c>
      <c r="D200">
        <v>24565</v>
      </c>
      <c r="E200">
        <v>227</v>
      </c>
      <c r="F200">
        <v>211000</v>
      </c>
      <c r="G200">
        <v>1</v>
      </c>
      <c r="H200">
        <v>539000</v>
      </c>
    </row>
    <row r="201" spans="1:8" x14ac:dyDescent="0.3">
      <c r="A201" t="s">
        <v>62</v>
      </c>
      <c r="B201" t="s">
        <v>11</v>
      </c>
      <c r="C201" t="s">
        <v>83</v>
      </c>
      <c r="D201">
        <v>20769</v>
      </c>
      <c r="E201">
        <v>458</v>
      </c>
      <c r="F201">
        <v>728000</v>
      </c>
      <c r="G201">
        <v>23</v>
      </c>
      <c r="H201">
        <v>11109000</v>
      </c>
    </row>
    <row r="202" spans="1:8" x14ac:dyDescent="0.3">
      <c r="A202" t="s">
        <v>63</v>
      </c>
      <c r="B202" t="s">
        <v>10</v>
      </c>
      <c r="C202" t="s">
        <v>80</v>
      </c>
      <c r="D202">
        <v>6550</v>
      </c>
      <c r="E202">
        <v>639</v>
      </c>
      <c r="F202">
        <v>1700000</v>
      </c>
      <c r="G202">
        <v>47</v>
      </c>
      <c r="H202">
        <v>21714000</v>
      </c>
    </row>
    <row r="203" spans="1:8" x14ac:dyDescent="0.3">
      <c r="A203" t="s">
        <v>63</v>
      </c>
      <c r="B203" t="s">
        <v>10</v>
      </c>
      <c r="C203" t="s">
        <v>81</v>
      </c>
      <c r="D203">
        <v>6509</v>
      </c>
      <c r="E203">
        <v>234</v>
      </c>
      <c r="F203">
        <v>930000</v>
      </c>
      <c r="G203">
        <v>5</v>
      </c>
      <c r="H203">
        <v>2260000</v>
      </c>
    </row>
    <row r="204" spans="1:8" x14ac:dyDescent="0.3">
      <c r="A204" t="s">
        <v>63</v>
      </c>
      <c r="B204" t="s">
        <v>11</v>
      </c>
      <c r="C204" t="s">
        <v>82</v>
      </c>
      <c r="D204">
        <v>32667</v>
      </c>
      <c r="E204">
        <v>285</v>
      </c>
      <c r="F204">
        <v>272000</v>
      </c>
      <c r="G204">
        <v>2</v>
      </c>
      <c r="H204">
        <v>816000</v>
      </c>
    </row>
    <row r="205" spans="1:8" x14ac:dyDescent="0.3">
      <c r="A205" t="s">
        <v>63</v>
      </c>
      <c r="B205" t="s">
        <v>11</v>
      </c>
      <c r="C205" t="s">
        <v>83</v>
      </c>
      <c r="D205">
        <v>17347</v>
      </c>
      <c r="E205">
        <v>404</v>
      </c>
      <c r="F205">
        <v>610000</v>
      </c>
      <c r="G205">
        <v>17</v>
      </c>
      <c r="H205">
        <v>6154000</v>
      </c>
    </row>
    <row r="206" spans="1:8" x14ac:dyDescent="0.3">
      <c r="A206" t="s">
        <v>64</v>
      </c>
      <c r="B206" t="s">
        <v>10</v>
      </c>
      <c r="C206" t="s">
        <v>80</v>
      </c>
      <c r="D206">
        <v>12691</v>
      </c>
      <c r="E206">
        <v>1215</v>
      </c>
      <c r="F206">
        <v>3410000</v>
      </c>
      <c r="G206">
        <v>62</v>
      </c>
      <c r="H206">
        <v>28892000</v>
      </c>
    </row>
    <row r="207" spans="1:8" x14ac:dyDescent="0.3">
      <c r="A207" t="s">
        <v>64</v>
      </c>
      <c r="B207" t="s">
        <v>10</v>
      </c>
      <c r="C207" t="s">
        <v>81</v>
      </c>
      <c r="D207">
        <v>10715</v>
      </c>
      <c r="E207">
        <v>313</v>
      </c>
      <c r="F207">
        <v>1309000</v>
      </c>
      <c r="G207">
        <v>9</v>
      </c>
      <c r="H207">
        <v>3510000</v>
      </c>
    </row>
    <row r="208" spans="1:8" x14ac:dyDescent="0.3">
      <c r="A208" t="s">
        <v>64</v>
      </c>
      <c r="B208" t="s">
        <v>11</v>
      </c>
      <c r="C208" t="s">
        <v>82</v>
      </c>
      <c r="D208">
        <v>14893</v>
      </c>
      <c r="E208">
        <v>141</v>
      </c>
      <c r="F208">
        <v>137000</v>
      </c>
      <c r="G208">
        <v>1</v>
      </c>
      <c r="H208">
        <v>380000</v>
      </c>
    </row>
    <row r="209" spans="1:8" x14ac:dyDescent="0.3">
      <c r="A209" t="s">
        <v>64</v>
      </c>
      <c r="B209" t="s">
        <v>11</v>
      </c>
      <c r="C209" t="s">
        <v>83</v>
      </c>
      <c r="D209">
        <v>20039</v>
      </c>
      <c r="E209">
        <v>358</v>
      </c>
      <c r="F209">
        <v>570000</v>
      </c>
      <c r="G209">
        <v>20</v>
      </c>
      <c r="H209">
        <v>9600000</v>
      </c>
    </row>
    <row r="210" spans="1:8" x14ac:dyDescent="0.3">
      <c r="A210" t="s">
        <v>65</v>
      </c>
      <c r="B210" t="s">
        <v>10</v>
      </c>
      <c r="C210" t="s">
        <v>80</v>
      </c>
      <c r="D210">
        <v>8939</v>
      </c>
      <c r="E210">
        <v>657</v>
      </c>
      <c r="F210">
        <v>1806000</v>
      </c>
      <c r="G210">
        <v>49</v>
      </c>
      <c r="H210">
        <v>27734000</v>
      </c>
    </row>
    <row r="211" spans="1:8" x14ac:dyDescent="0.3">
      <c r="A211" t="s">
        <v>65</v>
      </c>
      <c r="B211" t="s">
        <v>10</v>
      </c>
      <c r="C211" t="s">
        <v>81</v>
      </c>
      <c r="D211">
        <v>14057</v>
      </c>
      <c r="E211">
        <v>386</v>
      </c>
      <c r="F211">
        <v>1657000</v>
      </c>
      <c r="G211">
        <v>11</v>
      </c>
      <c r="H211">
        <v>4444000</v>
      </c>
    </row>
    <row r="212" spans="1:8" x14ac:dyDescent="0.3">
      <c r="A212" t="s">
        <v>65</v>
      </c>
      <c r="B212" t="s">
        <v>11</v>
      </c>
      <c r="C212" t="s">
        <v>82</v>
      </c>
      <c r="D212">
        <v>20097</v>
      </c>
      <c r="E212">
        <v>162</v>
      </c>
      <c r="F212">
        <v>151000</v>
      </c>
      <c r="G212">
        <v>1</v>
      </c>
      <c r="H212">
        <v>480000</v>
      </c>
    </row>
    <row r="213" spans="1:8" x14ac:dyDescent="0.3">
      <c r="A213" t="s">
        <v>65</v>
      </c>
      <c r="B213" t="s">
        <v>11</v>
      </c>
      <c r="C213" t="s">
        <v>83</v>
      </c>
      <c r="D213">
        <v>24518</v>
      </c>
      <c r="E213">
        <v>501</v>
      </c>
      <c r="F213">
        <v>845000</v>
      </c>
      <c r="G213">
        <v>26</v>
      </c>
      <c r="H213">
        <v>11518000</v>
      </c>
    </row>
    <row r="214" spans="1:8" x14ac:dyDescent="0.3">
      <c r="A214" t="s">
        <v>66</v>
      </c>
      <c r="B214" t="s">
        <v>10</v>
      </c>
      <c r="C214" t="s">
        <v>80</v>
      </c>
      <c r="D214">
        <v>14338</v>
      </c>
      <c r="E214">
        <v>1310</v>
      </c>
      <c r="F214">
        <v>3686000</v>
      </c>
      <c r="G214">
        <v>78</v>
      </c>
      <c r="H214">
        <v>36738000</v>
      </c>
    </row>
    <row r="215" spans="1:8" x14ac:dyDescent="0.3">
      <c r="A215" t="s">
        <v>66</v>
      </c>
      <c r="B215" t="s">
        <v>10</v>
      </c>
      <c r="C215" t="s">
        <v>81</v>
      </c>
      <c r="D215">
        <v>7731</v>
      </c>
      <c r="E215">
        <v>284</v>
      </c>
      <c r="F215">
        <v>1136000</v>
      </c>
      <c r="G215">
        <v>9</v>
      </c>
      <c r="H215">
        <v>3456000</v>
      </c>
    </row>
    <row r="216" spans="1:8" x14ac:dyDescent="0.3">
      <c r="A216" t="s">
        <v>66</v>
      </c>
      <c r="B216" t="s">
        <v>11</v>
      </c>
      <c r="C216" t="s">
        <v>82</v>
      </c>
      <c r="D216">
        <v>18090</v>
      </c>
      <c r="E216">
        <v>160</v>
      </c>
      <c r="F216">
        <v>131000</v>
      </c>
      <c r="G216">
        <v>1</v>
      </c>
      <c r="H216">
        <v>525000</v>
      </c>
    </row>
    <row r="217" spans="1:8" x14ac:dyDescent="0.3">
      <c r="A217" t="s">
        <v>66</v>
      </c>
      <c r="B217" t="s">
        <v>11</v>
      </c>
      <c r="C217" t="s">
        <v>83</v>
      </c>
      <c r="D217">
        <v>19053</v>
      </c>
      <c r="E217">
        <v>347</v>
      </c>
      <c r="F217">
        <v>522000</v>
      </c>
      <c r="G217">
        <v>16</v>
      </c>
      <c r="H217">
        <v>7936000</v>
      </c>
    </row>
    <row r="218" spans="1:8" x14ac:dyDescent="0.3">
      <c r="A218" t="s">
        <v>67</v>
      </c>
      <c r="B218" t="s">
        <v>10</v>
      </c>
      <c r="C218" t="s">
        <v>80</v>
      </c>
      <c r="D218">
        <v>8696</v>
      </c>
      <c r="E218">
        <v>723</v>
      </c>
      <c r="F218">
        <v>1918000</v>
      </c>
      <c r="G218">
        <v>51</v>
      </c>
      <c r="H218">
        <v>23154000</v>
      </c>
    </row>
    <row r="219" spans="1:8" x14ac:dyDescent="0.3">
      <c r="A219" t="s">
        <v>67</v>
      </c>
      <c r="B219" t="s">
        <v>10</v>
      </c>
      <c r="C219" t="s">
        <v>81</v>
      </c>
      <c r="D219">
        <v>7856</v>
      </c>
      <c r="E219">
        <v>214</v>
      </c>
      <c r="F219">
        <v>949000</v>
      </c>
      <c r="G219">
        <v>5</v>
      </c>
      <c r="H219">
        <v>2350000</v>
      </c>
    </row>
    <row r="220" spans="1:8" x14ac:dyDescent="0.3">
      <c r="A220" t="s">
        <v>67</v>
      </c>
      <c r="B220" t="s">
        <v>11</v>
      </c>
      <c r="C220" t="s">
        <v>82</v>
      </c>
      <c r="D220">
        <v>18778</v>
      </c>
      <c r="E220">
        <v>185</v>
      </c>
      <c r="F220">
        <v>183000</v>
      </c>
      <c r="G220">
        <v>1</v>
      </c>
      <c r="H220">
        <v>436000</v>
      </c>
    </row>
    <row r="221" spans="1:8" x14ac:dyDescent="0.3">
      <c r="A221" t="s">
        <v>67</v>
      </c>
      <c r="B221" t="s">
        <v>11</v>
      </c>
      <c r="C221" t="s">
        <v>83</v>
      </c>
      <c r="D221">
        <v>26714</v>
      </c>
      <c r="E221">
        <v>613</v>
      </c>
      <c r="F221">
        <v>974000</v>
      </c>
      <c r="G221">
        <v>25</v>
      </c>
      <c r="H221">
        <v>10250000</v>
      </c>
    </row>
    <row r="222" spans="1:8" x14ac:dyDescent="0.3">
      <c r="A222" t="s">
        <v>68</v>
      </c>
      <c r="B222" t="s">
        <v>10</v>
      </c>
      <c r="C222" t="s">
        <v>80</v>
      </c>
      <c r="D222">
        <v>10714</v>
      </c>
      <c r="E222">
        <v>939</v>
      </c>
      <c r="F222">
        <v>2763000</v>
      </c>
      <c r="G222">
        <v>51</v>
      </c>
      <c r="H222">
        <v>27336000</v>
      </c>
    </row>
    <row r="223" spans="1:8" x14ac:dyDescent="0.3">
      <c r="A223" t="s">
        <v>68</v>
      </c>
      <c r="B223" t="s">
        <v>10</v>
      </c>
      <c r="C223" t="s">
        <v>81</v>
      </c>
      <c r="D223">
        <v>8826</v>
      </c>
      <c r="E223">
        <v>244</v>
      </c>
      <c r="F223">
        <v>1062000</v>
      </c>
      <c r="G223">
        <v>7</v>
      </c>
      <c r="H223">
        <v>3626000</v>
      </c>
    </row>
    <row r="224" spans="1:8" x14ac:dyDescent="0.3">
      <c r="A224" t="s">
        <v>68</v>
      </c>
      <c r="B224" t="s">
        <v>11</v>
      </c>
      <c r="C224" t="s">
        <v>82</v>
      </c>
      <c r="D224">
        <v>20272</v>
      </c>
      <c r="E224">
        <v>165</v>
      </c>
      <c r="F224">
        <v>151000</v>
      </c>
      <c r="G224">
        <v>1</v>
      </c>
      <c r="H224">
        <v>453000</v>
      </c>
    </row>
    <row r="225" spans="1:8" x14ac:dyDescent="0.3">
      <c r="A225" t="s">
        <v>68</v>
      </c>
      <c r="B225" t="s">
        <v>11</v>
      </c>
      <c r="C225" t="s">
        <v>83</v>
      </c>
      <c r="D225">
        <v>19960</v>
      </c>
      <c r="E225">
        <v>396</v>
      </c>
      <c r="F225">
        <v>691000</v>
      </c>
      <c r="G225">
        <v>19</v>
      </c>
      <c r="H225">
        <v>8816000</v>
      </c>
    </row>
    <row r="226" spans="1:8" x14ac:dyDescent="0.3">
      <c r="A226" t="s">
        <v>69</v>
      </c>
      <c r="B226" t="s">
        <v>10</v>
      </c>
      <c r="C226" t="s">
        <v>80</v>
      </c>
      <c r="D226">
        <v>10519</v>
      </c>
      <c r="E226">
        <v>880</v>
      </c>
      <c r="F226">
        <v>2577000</v>
      </c>
      <c r="G226">
        <v>63</v>
      </c>
      <c r="H226">
        <v>25641000</v>
      </c>
    </row>
    <row r="227" spans="1:8" x14ac:dyDescent="0.3">
      <c r="A227" t="s">
        <v>69</v>
      </c>
      <c r="B227" t="s">
        <v>10</v>
      </c>
      <c r="C227" t="s">
        <v>81</v>
      </c>
      <c r="D227">
        <v>6940</v>
      </c>
      <c r="E227">
        <v>193</v>
      </c>
      <c r="F227">
        <v>746000</v>
      </c>
      <c r="G227">
        <v>5</v>
      </c>
      <c r="H227">
        <v>2115000</v>
      </c>
    </row>
    <row r="228" spans="1:8" x14ac:dyDescent="0.3">
      <c r="A228" t="s">
        <v>69</v>
      </c>
      <c r="B228" t="s">
        <v>11</v>
      </c>
      <c r="C228" t="s">
        <v>82</v>
      </c>
      <c r="D228">
        <v>16129</v>
      </c>
      <c r="E228">
        <v>138</v>
      </c>
      <c r="F228">
        <v>112000</v>
      </c>
      <c r="G228">
        <v>1</v>
      </c>
      <c r="H228">
        <v>534000</v>
      </c>
    </row>
    <row r="229" spans="1:8" x14ac:dyDescent="0.3">
      <c r="A229" t="s">
        <v>69</v>
      </c>
      <c r="B229" t="s">
        <v>11</v>
      </c>
      <c r="C229" t="s">
        <v>83</v>
      </c>
      <c r="D229">
        <v>27975</v>
      </c>
      <c r="E229">
        <v>547</v>
      </c>
      <c r="F229">
        <v>829000</v>
      </c>
      <c r="G229">
        <v>22</v>
      </c>
      <c r="H229">
        <v>10538000</v>
      </c>
    </row>
    <row r="230" spans="1:8" x14ac:dyDescent="0.3">
      <c r="A230" t="s">
        <v>70</v>
      </c>
      <c r="B230" t="s">
        <v>10</v>
      </c>
      <c r="C230" t="s">
        <v>80</v>
      </c>
      <c r="D230">
        <v>10526</v>
      </c>
      <c r="E230">
        <v>892</v>
      </c>
      <c r="F230">
        <v>2459000</v>
      </c>
      <c r="G230">
        <v>50</v>
      </c>
      <c r="H230">
        <v>25850000</v>
      </c>
    </row>
    <row r="231" spans="1:8" x14ac:dyDescent="0.3">
      <c r="A231" t="s">
        <v>70</v>
      </c>
      <c r="B231" t="s">
        <v>10</v>
      </c>
      <c r="C231" t="s">
        <v>81</v>
      </c>
      <c r="D231">
        <v>11029</v>
      </c>
      <c r="E231">
        <v>330</v>
      </c>
      <c r="F231">
        <v>1480000</v>
      </c>
      <c r="G231">
        <v>8</v>
      </c>
      <c r="H231">
        <v>3616000</v>
      </c>
    </row>
    <row r="232" spans="1:8" x14ac:dyDescent="0.3">
      <c r="A232" t="s">
        <v>70</v>
      </c>
      <c r="B232" t="s">
        <v>11</v>
      </c>
      <c r="C232" t="s">
        <v>82</v>
      </c>
      <c r="D232">
        <v>27182</v>
      </c>
      <c r="E232">
        <v>239</v>
      </c>
      <c r="F232">
        <v>225000</v>
      </c>
      <c r="G232">
        <v>2</v>
      </c>
      <c r="H232">
        <v>720000</v>
      </c>
    </row>
    <row r="233" spans="1:8" x14ac:dyDescent="0.3">
      <c r="A233" t="s">
        <v>70</v>
      </c>
      <c r="B233" t="s">
        <v>11</v>
      </c>
      <c r="C233" t="s">
        <v>83</v>
      </c>
      <c r="D233">
        <v>27710</v>
      </c>
      <c r="E233">
        <v>643</v>
      </c>
      <c r="F233">
        <v>989000</v>
      </c>
      <c r="G233">
        <v>29</v>
      </c>
      <c r="H233">
        <v>16327000</v>
      </c>
    </row>
    <row r="234" spans="1:8" x14ac:dyDescent="0.3">
      <c r="A234" t="s">
        <v>71</v>
      </c>
      <c r="B234" t="s">
        <v>10</v>
      </c>
      <c r="C234" t="s">
        <v>80</v>
      </c>
      <c r="D234">
        <v>7102</v>
      </c>
      <c r="E234">
        <v>684</v>
      </c>
      <c r="F234">
        <v>2014000</v>
      </c>
      <c r="G234">
        <v>47</v>
      </c>
      <c r="H234">
        <v>18753000</v>
      </c>
    </row>
    <row r="235" spans="1:8" x14ac:dyDescent="0.3">
      <c r="A235" t="s">
        <v>71</v>
      </c>
      <c r="B235" t="s">
        <v>10</v>
      </c>
      <c r="C235" t="s">
        <v>81</v>
      </c>
      <c r="D235">
        <v>14974</v>
      </c>
      <c r="E235">
        <v>476</v>
      </c>
      <c r="F235">
        <v>2019000</v>
      </c>
      <c r="G235">
        <v>11</v>
      </c>
      <c r="H235">
        <v>5764000</v>
      </c>
    </row>
    <row r="236" spans="1:8" x14ac:dyDescent="0.3">
      <c r="A236" t="s">
        <v>71</v>
      </c>
      <c r="B236" t="s">
        <v>11</v>
      </c>
      <c r="C236" t="s">
        <v>82</v>
      </c>
      <c r="D236">
        <v>30191</v>
      </c>
      <c r="E236">
        <v>239</v>
      </c>
      <c r="F236">
        <v>228000</v>
      </c>
      <c r="G236">
        <v>2</v>
      </c>
      <c r="H236">
        <v>760000</v>
      </c>
    </row>
    <row r="237" spans="1:8" x14ac:dyDescent="0.3">
      <c r="A237" t="s">
        <v>71</v>
      </c>
      <c r="B237" t="s">
        <v>11</v>
      </c>
      <c r="C237" t="s">
        <v>83</v>
      </c>
      <c r="D237">
        <v>19578</v>
      </c>
      <c r="E237">
        <v>354</v>
      </c>
      <c r="F237">
        <v>572000</v>
      </c>
      <c r="G237">
        <v>19</v>
      </c>
      <c r="H237">
        <v>10279000</v>
      </c>
    </row>
    <row r="238" spans="1:8" x14ac:dyDescent="0.3">
      <c r="A238" t="s">
        <v>72</v>
      </c>
      <c r="B238" t="s">
        <v>10</v>
      </c>
      <c r="C238" t="s">
        <v>80</v>
      </c>
      <c r="D238">
        <v>7941</v>
      </c>
      <c r="E238">
        <v>669</v>
      </c>
      <c r="F238">
        <v>1849000</v>
      </c>
      <c r="G238">
        <v>41</v>
      </c>
      <c r="H238">
        <v>23534000</v>
      </c>
    </row>
    <row r="239" spans="1:8" x14ac:dyDescent="0.3">
      <c r="A239" t="s">
        <v>72</v>
      </c>
      <c r="B239" t="s">
        <v>10</v>
      </c>
      <c r="C239" t="s">
        <v>81</v>
      </c>
      <c r="D239">
        <v>6051</v>
      </c>
      <c r="E239">
        <v>194</v>
      </c>
      <c r="F239">
        <v>857000</v>
      </c>
      <c r="G239">
        <v>6</v>
      </c>
      <c r="H239">
        <v>2478000</v>
      </c>
    </row>
    <row r="240" spans="1:8" x14ac:dyDescent="0.3">
      <c r="A240" t="s">
        <v>72</v>
      </c>
      <c r="B240" t="s">
        <v>11</v>
      </c>
      <c r="C240" t="s">
        <v>82</v>
      </c>
      <c r="D240">
        <v>28160</v>
      </c>
      <c r="E240">
        <v>248</v>
      </c>
      <c r="F240">
        <v>234000</v>
      </c>
      <c r="G240">
        <v>1</v>
      </c>
      <c r="H240">
        <v>535000</v>
      </c>
    </row>
    <row r="241" spans="1:8" x14ac:dyDescent="0.3">
      <c r="A241" t="s">
        <v>72</v>
      </c>
      <c r="B241" t="s">
        <v>11</v>
      </c>
      <c r="C241" t="s">
        <v>83</v>
      </c>
      <c r="D241">
        <v>13849</v>
      </c>
      <c r="E241">
        <v>306</v>
      </c>
      <c r="F241">
        <v>447000</v>
      </c>
      <c r="G241">
        <v>16</v>
      </c>
      <c r="H241">
        <v>8016000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.4" x14ac:dyDescent="0.3"/>
  <sheetData>
    <row r="1" spans="1:7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 x14ac:dyDescent="0.3">
      <c r="A2" t="s">
        <v>91</v>
      </c>
      <c r="B2" t="s">
        <v>92</v>
      </c>
      <c r="C2">
        <v>1</v>
      </c>
      <c r="D2">
        <v>663000</v>
      </c>
      <c r="E2" t="s">
        <v>93</v>
      </c>
      <c r="F2" t="s">
        <v>13</v>
      </c>
      <c r="G2" t="s">
        <v>94</v>
      </c>
    </row>
    <row r="3" spans="1:7" x14ac:dyDescent="0.3">
      <c r="A3" t="s">
        <v>95</v>
      </c>
      <c r="B3" t="s">
        <v>96</v>
      </c>
      <c r="C3">
        <v>1</v>
      </c>
      <c r="D3">
        <v>291000</v>
      </c>
      <c r="E3" t="s">
        <v>97</v>
      </c>
      <c r="F3" t="s">
        <v>11</v>
      </c>
      <c r="G3" t="s">
        <v>98</v>
      </c>
    </row>
    <row r="4" spans="1:7" x14ac:dyDescent="0.3">
      <c r="A4" t="s">
        <v>99</v>
      </c>
      <c r="B4" t="s">
        <v>100</v>
      </c>
      <c r="C4">
        <v>6</v>
      </c>
      <c r="D4">
        <v>2832000</v>
      </c>
      <c r="E4" t="s">
        <v>101</v>
      </c>
      <c r="F4" t="s">
        <v>9</v>
      </c>
      <c r="G4" t="s">
        <v>94</v>
      </c>
    </row>
    <row r="5" spans="1:7" x14ac:dyDescent="0.3">
      <c r="A5" t="s">
        <v>102</v>
      </c>
      <c r="B5" t="s">
        <v>103</v>
      </c>
      <c r="C5">
        <v>5</v>
      </c>
      <c r="D5">
        <v>1445000</v>
      </c>
      <c r="E5" t="s">
        <v>97</v>
      </c>
      <c r="F5" t="s">
        <v>13</v>
      </c>
      <c r="G5" t="s">
        <v>94</v>
      </c>
    </row>
    <row r="6" spans="1:7" x14ac:dyDescent="0.3">
      <c r="A6" t="s">
        <v>104</v>
      </c>
      <c r="B6" t="s">
        <v>105</v>
      </c>
      <c r="C6">
        <v>4</v>
      </c>
      <c r="D6">
        <v>1144000</v>
      </c>
      <c r="E6" t="s">
        <v>93</v>
      </c>
      <c r="F6" t="s">
        <v>10</v>
      </c>
      <c r="G6" t="s">
        <v>94</v>
      </c>
    </row>
    <row r="7" spans="1:7" x14ac:dyDescent="0.3">
      <c r="A7" t="s">
        <v>106</v>
      </c>
      <c r="B7" t="s">
        <v>107</v>
      </c>
      <c r="C7">
        <v>5</v>
      </c>
      <c r="D7">
        <v>2400000</v>
      </c>
      <c r="E7" t="s">
        <v>108</v>
      </c>
      <c r="F7" t="s">
        <v>10</v>
      </c>
      <c r="G7" t="s">
        <v>94</v>
      </c>
    </row>
    <row r="8" spans="1:7" x14ac:dyDescent="0.3">
      <c r="A8" t="s">
        <v>109</v>
      </c>
      <c r="B8" t="s">
        <v>110</v>
      </c>
      <c r="C8">
        <v>10</v>
      </c>
      <c r="D8">
        <v>7570000</v>
      </c>
      <c r="E8" t="s">
        <v>108</v>
      </c>
      <c r="F8" t="s">
        <v>9</v>
      </c>
      <c r="G8" t="s">
        <v>94</v>
      </c>
    </row>
    <row r="9" spans="1:7" x14ac:dyDescent="0.3">
      <c r="A9" t="s">
        <v>111</v>
      </c>
      <c r="B9" t="s">
        <v>112</v>
      </c>
      <c r="C9">
        <v>10</v>
      </c>
      <c r="D9">
        <v>3630000</v>
      </c>
      <c r="E9" t="s">
        <v>93</v>
      </c>
      <c r="F9" t="s">
        <v>12</v>
      </c>
      <c r="G9" t="s">
        <v>98</v>
      </c>
    </row>
    <row r="10" spans="1:7" x14ac:dyDescent="0.3">
      <c r="A10" t="s">
        <v>113</v>
      </c>
      <c r="B10" t="s">
        <v>114</v>
      </c>
      <c r="C10">
        <v>2</v>
      </c>
      <c r="D10">
        <v>540000</v>
      </c>
      <c r="E10" t="s">
        <v>101</v>
      </c>
      <c r="F10" t="s">
        <v>11</v>
      </c>
      <c r="G10" t="s">
        <v>98</v>
      </c>
    </row>
    <row r="11" spans="1:7" x14ac:dyDescent="0.3">
      <c r="A11" t="s">
        <v>115</v>
      </c>
      <c r="B11" t="s">
        <v>116</v>
      </c>
      <c r="C11">
        <v>1</v>
      </c>
      <c r="D11">
        <v>580000</v>
      </c>
      <c r="E11" t="s">
        <v>97</v>
      </c>
      <c r="F11" t="s">
        <v>9</v>
      </c>
      <c r="G11" t="s">
        <v>98</v>
      </c>
    </row>
    <row r="12" spans="1:7" x14ac:dyDescent="0.3">
      <c r="A12" t="s">
        <v>117</v>
      </c>
      <c r="B12" t="s">
        <v>118</v>
      </c>
      <c r="C12">
        <v>2</v>
      </c>
      <c r="D12">
        <v>838000</v>
      </c>
      <c r="E12" t="s">
        <v>93</v>
      </c>
      <c r="F12" t="s">
        <v>12</v>
      </c>
      <c r="G12" t="s">
        <v>98</v>
      </c>
    </row>
    <row r="13" spans="1:7" x14ac:dyDescent="0.3">
      <c r="A13" t="s">
        <v>119</v>
      </c>
      <c r="B13" t="s">
        <v>120</v>
      </c>
      <c r="C13">
        <v>1</v>
      </c>
      <c r="D13">
        <v>282000</v>
      </c>
      <c r="E13" t="s">
        <v>97</v>
      </c>
      <c r="F13" t="s">
        <v>11</v>
      </c>
      <c r="G13" t="s">
        <v>98</v>
      </c>
    </row>
    <row r="14" spans="1:7" x14ac:dyDescent="0.3">
      <c r="A14" t="s">
        <v>121</v>
      </c>
      <c r="B14" t="s">
        <v>122</v>
      </c>
      <c r="C14">
        <v>10</v>
      </c>
      <c r="D14">
        <v>3210000</v>
      </c>
      <c r="E14" t="s">
        <v>97</v>
      </c>
      <c r="F14" t="s">
        <v>12</v>
      </c>
      <c r="G14" t="s">
        <v>94</v>
      </c>
    </row>
    <row r="15" spans="1:7" x14ac:dyDescent="0.3">
      <c r="A15" t="s">
        <v>123</v>
      </c>
      <c r="B15" t="s">
        <v>124</v>
      </c>
      <c r="C15">
        <v>5</v>
      </c>
      <c r="D15">
        <v>2855000</v>
      </c>
      <c r="E15" t="s">
        <v>125</v>
      </c>
      <c r="F15" t="s">
        <v>10</v>
      </c>
      <c r="G15" t="s">
        <v>94</v>
      </c>
    </row>
    <row r="16" spans="1:7" x14ac:dyDescent="0.3">
      <c r="A16" t="s">
        <v>126</v>
      </c>
      <c r="B16" t="s">
        <v>127</v>
      </c>
      <c r="C16">
        <v>2</v>
      </c>
      <c r="D16">
        <v>704000</v>
      </c>
      <c r="E16" t="s">
        <v>97</v>
      </c>
      <c r="F16" t="s">
        <v>13</v>
      </c>
      <c r="G16" t="s">
        <v>94</v>
      </c>
    </row>
    <row r="17" spans="1:7" x14ac:dyDescent="0.3">
      <c r="A17" t="s">
        <v>128</v>
      </c>
      <c r="B17" t="s">
        <v>129</v>
      </c>
      <c r="C17">
        <v>7</v>
      </c>
      <c r="D17">
        <v>1750000</v>
      </c>
      <c r="E17" t="s">
        <v>125</v>
      </c>
      <c r="F17" t="s">
        <v>11</v>
      </c>
      <c r="G17" t="s">
        <v>94</v>
      </c>
    </row>
    <row r="18" spans="1:7" x14ac:dyDescent="0.3">
      <c r="A18" t="s">
        <v>130</v>
      </c>
      <c r="B18" t="s">
        <v>131</v>
      </c>
      <c r="C18">
        <v>2</v>
      </c>
      <c r="D18">
        <v>1028000</v>
      </c>
      <c r="E18" t="s">
        <v>97</v>
      </c>
      <c r="F18" t="s">
        <v>9</v>
      </c>
      <c r="G18" t="s">
        <v>98</v>
      </c>
    </row>
    <row r="19" spans="1:7" x14ac:dyDescent="0.3">
      <c r="A19" t="s">
        <v>132</v>
      </c>
      <c r="B19" t="s">
        <v>133</v>
      </c>
      <c r="C19">
        <v>4</v>
      </c>
      <c r="D19">
        <v>960000</v>
      </c>
      <c r="E19" t="s">
        <v>93</v>
      </c>
      <c r="F19" t="s">
        <v>12</v>
      </c>
      <c r="G19" t="s">
        <v>98</v>
      </c>
    </row>
    <row r="20" spans="1:7" x14ac:dyDescent="0.3">
      <c r="A20" t="s">
        <v>134</v>
      </c>
      <c r="B20" t="s">
        <v>135</v>
      </c>
      <c r="C20">
        <v>2</v>
      </c>
      <c r="D20">
        <v>914000</v>
      </c>
      <c r="E20" t="s">
        <v>108</v>
      </c>
      <c r="F20" t="s">
        <v>10</v>
      </c>
      <c r="G20" t="s">
        <v>94</v>
      </c>
    </row>
    <row r="21" spans="1:7" x14ac:dyDescent="0.3">
      <c r="A21" t="s">
        <v>136</v>
      </c>
      <c r="B21" t="s">
        <v>137</v>
      </c>
      <c r="C21">
        <v>1</v>
      </c>
      <c r="D21">
        <v>718000</v>
      </c>
      <c r="E21" t="s">
        <v>101</v>
      </c>
      <c r="F21" t="s">
        <v>11</v>
      </c>
      <c r="G21" t="s">
        <v>98</v>
      </c>
    </row>
    <row r="22" spans="1:7" x14ac:dyDescent="0.3">
      <c r="A22" t="s">
        <v>138</v>
      </c>
      <c r="B22" t="s">
        <v>139</v>
      </c>
      <c r="C22">
        <v>6</v>
      </c>
      <c r="D22">
        <v>3342000</v>
      </c>
      <c r="E22" t="s">
        <v>97</v>
      </c>
      <c r="F22" t="s">
        <v>9</v>
      </c>
      <c r="G22" t="s">
        <v>98</v>
      </c>
    </row>
    <row r="23" spans="1:7" x14ac:dyDescent="0.3">
      <c r="A23" t="s">
        <v>140</v>
      </c>
      <c r="B23" t="s">
        <v>141</v>
      </c>
      <c r="C23">
        <v>12</v>
      </c>
      <c r="D23">
        <v>6444000</v>
      </c>
      <c r="E23" t="s">
        <v>97</v>
      </c>
      <c r="F23" t="s">
        <v>12</v>
      </c>
      <c r="G23" t="s">
        <v>94</v>
      </c>
    </row>
    <row r="24" spans="1:7" x14ac:dyDescent="0.3">
      <c r="A24" t="s">
        <v>142</v>
      </c>
      <c r="B24" t="s">
        <v>143</v>
      </c>
      <c r="C24">
        <v>11</v>
      </c>
      <c r="D24">
        <v>5016000</v>
      </c>
      <c r="E24" t="s">
        <v>93</v>
      </c>
      <c r="F24" t="s">
        <v>13</v>
      </c>
      <c r="G24" t="s">
        <v>94</v>
      </c>
    </row>
    <row r="25" spans="1:7" x14ac:dyDescent="0.3">
      <c r="A25" t="s">
        <v>144</v>
      </c>
      <c r="B25" t="s">
        <v>145</v>
      </c>
      <c r="C25">
        <v>5</v>
      </c>
      <c r="D25">
        <v>2860000</v>
      </c>
      <c r="E25" t="s">
        <v>97</v>
      </c>
      <c r="F25" t="s">
        <v>10</v>
      </c>
      <c r="G25" t="s">
        <v>94</v>
      </c>
    </row>
    <row r="26" spans="1:7" x14ac:dyDescent="0.3">
      <c r="A26" t="s">
        <v>146</v>
      </c>
      <c r="B26" t="s">
        <v>147</v>
      </c>
      <c r="C26">
        <v>5</v>
      </c>
      <c r="D26">
        <v>1960000</v>
      </c>
      <c r="E26" t="s">
        <v>125</v>
      </c>
      <c r="F26" t="s">
        <v>13</v>
      </c>
      <c r="G26" t="s">
        <v>98</v>
      </c>
    </row>
    <row r="27" spans="1:7" x14ac:dyDescent="0.3">
      <c r="A27" t="s">
        <v>148</v>
      </c>
      <c r="B27" t="s">
        <v>149</v>
      </c>
      <c r="C27">
        <v>2</v>
      </c>
      <c r="D27">
        <v>1198000</v>
      </c>
      <c r="E27" t="s">
        <v>125</v>
      </c>
      <c r="F27" t="s">
        <v>9</v>
      </c>
      <c r="G27" t="s">
        <v>94</v>
      </c>
    </row>
    <row r="28" spans="1:7" x14ac:dyDescent="0.3">
      <c r="A28" t="s">
        <v>150</v>
      </c>
      <c r="B28" t="s">
        <v>151</v>
      </c>
      <c r="C28">
        <v>2</v>
      </c>
      <c r="D28">
        <v>1172000</v>
      </c>
      <c r="E28" t="s">
        <v>97</v>
      </c>
      <c r="F28" t="s">
        <v>12</v>
      </c>
      <c r="G28" t="s">
        <v>98</v>
      </c>
    </row>
    <row r="29" spans="1:7" x14ac:dyDescent="0.3">
      <c r="A29" t="s">
        <v>152</v>
      </c>
      <c r="B29" t="s">
        <v>153</v>
      </c>
      <c r="C29">
        <v>2</v>
      </c>
      <c r="D29">
        <v>936000</v>
      </c>
      <c r="E29" t="s">
        <v>93</v>
      </c>
      <c r="F29" t="s">
        <v>13</v>
      </c>
      <c r="G29" t="s">
        <v>94</v>
      </c>
    </row>
    <row r="30" spans="1:7" x14ac:dyDescent="0.3">
      <c r="A30" t="s">
        <v>154</v>
      </c>
      <c r="B30" t="s">
        <v>155</v>
      </c>
      <c r="C30">
        <v>5</v>
      </c>
      <c r="D30">
        <v>2900000</v>
      </c>
      <c r="E30" t="s">
        <v>97</v>
      </c>
      <c r="F30" t="s">
        <v>12</v>
      </c>
      <c r="G30" t="s">
        <v>94</v>
      </c>
    </row>
    <row r="31" spans="1:7" x14ac:dyDescent="0.3">
      <c r="A31" t="s">
        <v>156</v>
      </c>
      <c r="B31" t="s">
        <v>157</v>
      </c>
      <c r="C31">
        <v>5</v>
      </c>
      <c r="D31">
        <v>1860000</v>
      </c>
      <c r="E31" t="s">
        <v>93</v>
      </c>
      <c r="F31" t="s">
        <v>13</v>
      </c>
      <c r="G31" t="s">
        <v>98</v>
      </c>
    </row>
    <row r="32" spans="1:7" x14ac:dyDescent="0.3">
      <c r="A32" t="s">
        <v>158</v>
      </c>
      <c r="B32" t="s">
        <v>159</v>
      </c>
      <c r="C32">
        <v>5</v>
      </c>
      <c r="D32">
        <v>1215000</v>
      </c>
      <c r="E32" t="s">
        <v>93</v>
      </c>
      <c r="F32" t="s">
        <v>9</v>
      </c>
      <c r="G32" t="s">
        <v>98</v>
      </c>
    </row>
    <row r="33" spans="1:7" x14ac:dyDescent="0.3">
      <c r="A33" t="s">
        <v>160</v>
      </c>
      <c r="B33" t="s">
        <v>161</v>
      </c>
      <c r="C33">
        <v>1</v>
      </c>
      <c r="D33">
        <v>272000</v>
      </c>
      <c r="E33" t="s">
        <v>93</v>
      </c>
      <c r="F33" t="s">
        <v>10</v>
      </c>
      <c r="G33" t="s">
        <v>94</v>
      </c>
    </row>
    <row r="34" spans="1:7" x14ac:dyDescent="0.3">
      <c r="A34" t="s">
        <v>162</v>
      </c>
      <c r="B34" t="s">
        <v>163</v>
      </c>
      <c r="C34">
        <v>3</v>
      </c>
      <c r="D34">
        <v>2010000</v>
      </c>
      <c r="E34" t="s">
        <v>108</v>
      </c>
      <c r="F34" t="s">
        <v>11</v>
      </c>
      <c r="G34" t="s">
        <v>94</v>
      </c>
    </row>
    <row r="35" spans="1:7" x14ac:dyDescent="0.3">
      <c r="A35" t="s">
        <v>164</v>
      </c>
      <c r="B35" t="s">
        <v>165</v>
      </c>
      <c r="C35">
        <v>4</v>
      </c>
      <c r="D35">
        <v>2368000</v>
      </c>
      <c r="E35" t="s">
        <v>101</v>
      </c>
      <c r="F35" t="s">
        <v>10</v>
      </c>
      <c r="G35" t="s">
        <v>94</v>
      </c>
    </row>
    <row r="36" spans="1:7" x14ac:dyDescent="0.3">
      <c r="A36" t="s">
        <v>166</v>
      </c>
      <c r="B36" t="s">
        <v>167</v>
      </c>
      <c r="C36">
        <v>2</v>
      </c>
      <c r="D36">
        <v>972000</v>
      </c>
      <c r="E36" t="s">
        <v>97</v>
      </c>
      <c r="F36" t="s">
        <v>11</v>
      </c>
      <c r="G36" t="s">
        <v>98</v>
      </c>
    </row>
    <row r="37" spans="1:7" x14ac:dyDescent="0.3">
      <c r="A37" t="s">
        <v>168</v>
      </c>
      <c r="B37" t="s">
        <v>169</v>
      </c>
      <c r="C37">
        <v>1</v>
      </c>
      <c r="D37">
        <v>351000</v>
      </c>
      <c r="E37" t="s">
        <v>93</v>
      </c>
      <c r="F37" t="s">
        <v>10</v>
      </c>
      <c r="G37" t="s">
        <v>94</v>
      </c>
    </row>
    <row r="38" spans="1:7" x14ac:dyDescent="0.3">
      <c r="A38" t="s">
        <v>170</v>
      </c>
      <c r="B38" t="s">
        <v>171</v>
      </c>
      <c r="C38">
        <v>3</v>
      </c>
      <c r="D38">
        <v>846000</v>
      </c>
      <c r="E38" t="s">
        <v>101</v>
      </c>
      <c r="F38" t="s">
        <v>11</v>
      </c>
      <c r="G38" t="s">
        <v>98</v>
      </c>
    </row>
    <row r="39" spans="1:7" x14ac:dyDescent="0.3">
      <c r="A39" t="s">
        <v>172</v>
      </c>
      <c r="B39" t="s">
        <v>173</v>
      </c>
      <c r="C39">
        <v>1</v>
      </c>
      <c r="D39">
        <v>407000</v>
      </c>
      <c r="E39" t="s">
        <v>125</v>
      </c>
      <c r="F39" t="s">
        <v>13</v>
      </c>
      <c r="G39" t="s">
        <v>98</v>
      </c>
    </row>
    <row r="40" spans="1:7" x14ac:dyDescent="0.3">
      <c r="A40" t="s">
        <v>174</v>
      </c>
      <c r="B40" t="s">
        <v>175</v>
      </c>
      <c r="C40">
        <v>6</v>
      </c>
      <c r="D40">
        <v>3156000</v>
      </c>
      <c r="E40" t="s">
        <v>108</v>
      </c>
      <c r="F40" t="s">
        <v>13</v>
      </c>
      <c r="G40" t="s">
        <v>94</v>
      </c>
    </row>
    <row r="41" spans="1:7" x14ac:dyDescent="0.3">
      <c r="A41" t="s">
        <v>176</v>
      </c>
      <c r="B41" t="s">
        <v>169</v>
      </c>
      <c r="C41">
        <v>1</v>
      </c>
      <c r="D41">
        <v>250000</v>
      </c>
      <c r="E41" t="s">
        <v>97</v>
      </c>
      <c r="F41" t="s">
        <v>10</v>
      </c>
      <c r="G41" t="s">
        <v>94</v>
      </c>
    </row>
    <row r="42" spans="1:7" x14ac:dyDescent="0.3">
      <c r="A42" t="s">
        <v>177</v>
      </c>
      <c r="B42" t="s">
        <v>178</v>
      </c>
      <c r="C42">
        <v>6</v>
      </c>
      <c r="D42">
        <v>3096000</v>
      </c>
      <c r="E42" t="s">
        <v>101</v>
      </c>
      <c r="F42" t="s">
        <v>12</v>
      </c>
      <c r="G42" t="s">
        <v>94</v>
      </c>
    </row>
    <row r="43" spans="1:7" x14ac:dyDescent="0.3">
      <c r="A43" t="s">
        <v>179</v>
      </c>
      <c r="B43" t="s">
        <v>180</v>
      </c>
      <c r="C43">
        <v>4</v>
      </c>
      <c r="D43">
        <v>1764000</v>
      </c>
      <c r="E43" t="s">
        <v>101</v>
      </c>
      <c r="F43" t="s">
        <v>11</v>
      </c>
      <c r="G43" t="s">
        <v>94</v>
      </c>
    </row>
    <row r="44" spans="1:7" x14ac:dyDescent="0.3">
      <c r="A44" t="s">
        <v>181</v>
      </c>
      <c r="B44" t="s">
        <v>182</v>
      </c>
      <c r="C44">
        <v>1</v>
      </c>
      <c r="D44">
        <v>724000</v>
      </c>
      <c r="E44" t="s">
        <v>93</v>
      </c>
      <c r="F44" t="s">
        <v>12</v>
      </c>
      <c r="G44" t="s">
        <v>94</v>
      </c>
    </row>
    <row r="45" spans="1:7" x14ac:dyDescent="0.3">
      <c r="A45" t="s">
        <v>183</v>
      </c>
      <c r="B45" t="s">
        <v>169</v>
      </c>
      <c r="C45">
        <v>1</v>
      </c>
      <c r="D45">
        <v>331000</v>
      </c>
      <c r="E45" t="s">
        <v>93</v>
      </c>
      <c r="F45" t="s">
        <v>13</v>
      </c>
      <c r="G45" t="s">
        <v>94</v>
      </c>
    </row>
    <row r="46" spans="1:7" x14ac:dyDescent="0.3">
      <c r="A46" t="s">
        <v>184</v>
      </c>
      <c r="B46" t="s">
        <v>185</v>
      </c>
      <c r="C46">
        <v>1</v>
      </c>
      <c r="D46">
        <v>537000</v>
      </c>
      <c r="E46" t="s">
        <v>97</v>
      </c>
      <c r="F46" t="s">
        <v>12</v>
      </c>
      <c r="G46" t="s">
        <v>94</v>
      </c>
    </row>
    <row r="47" spans="1:7" x14ac:dyDescent="0.3">
      <c r="A47" t="s">
        <v>186</v>
      </c>
      <c r="B47" t="s">
        <v>187</v>
      </c>
      <c r="C47">
        <v>5</v>
      </c>
      <c r="D47">
        <v>2445000</v>
      </c>
      <c r="E47" t="s">
        <v>101</v>
      </c>
      <c r="F47" t="s">
        <v>11</v>
      </c>
      <c r="G47" t="s">
        <v>98</v>
      </c>
    </row>
    <row r="48" spans="1:7" x14ac:dyDescent="0.3">
      <c r="A48" t="s">
        <v>188</v>
      </c>
      <c r="B48" t="s">
        <v>189</v>
      </c>
      <c r="C48">
        <v>1</v>
      </c>
      <c r="D48">
        <v>704000</v>
      </c>
      <c r="E48" t="s">
        <v>108</v>
      </c>
      <c r="F48" t="s">
        <v>10</v>
      </c>
      <c r="G48" t="s">
        <v>98</v>
      </c>
    </row>
    <row r="49" spans="1:7" x14ac:dyDescent="0.3">
      <c r="A49" t="s">
        <v>190</v>
      </c>
      <c r="B49" t="s">
        <v>191</v>
      </c>
      <c r="C49">
        <v>6</v>
      </c>
      <c r="D49">
        <v>3168000</v>
      </c>
      <c r="E49" t="s">
        <v>125</v>
      </c>
      <c r="F49" t="s">
        <v>13</v>
      </c>
      <c r="G49" t="s">
        <v>94</v>
      </c>
    </row>
    <row r="50" spans="1:7" x14ac:dyDescent="0.3">
      <c r="A50" t="s">
        <v>192</v>
      </c>
      <c r="B50" t="s">
        <v>193</v>
      </c>
      <c r="C50">
        <v>2</v>
      </c>
      <c r="D50">
        <v>1008000</v>
      </c>
      <c r="E50" t="s">
        <v>97</v>
      </c>
      <c r="F50" t="s">
        <v>10</v>
      </c>
      <c r="G50" t="s">
        <v>94</v>
      </c>
    </row>
    <row r="51" spans="1:7" x14ac:dyDescent="0.3">
      <c r="A51" t="s">
        <v>194</v>
      </c>
      <c r="B51" t="s">
        <v>195</v>
      </c>
      <c r="C51">
        <v>1</v>
      </c>
      <c r="D51">
        <v>294000</v>
      </c>
      <c r="E51" t="s">
        <v>125</v>
      </c>
      <c r="F51" t="s">
        <v>10</v>
      </c>
      <c r="G51" t="s">
        <v>98</v>
      </c>
    </row>
    <row r="52" spans="1:7" x14ac:dyDescent="0.3">
      <c r="A52" t="s">
        <v>196</v>
      </c>
      <c r="B52" t="s">
        <v>197</v>
      </c>
      <c r="C52">
        <v>10</v>
      </c>
      <c r="D52">
        <v>3930000</v>
      </c>
      <c r="E52" t="s">
        <v>93</v>
      </c>
      <c r="F52" t="s">
        <v>13</v>
      </c>
      <c r="G52" t="s">
        <v>94</v>
      </c>
    </row>
    <row r="53" spans="1:7" x14ac:dyDescent="0.3">
      <c r="A53" t="s">
        <v>198</v>
      </c>
      <c r="B53" t="s">
        <v>8</v>
      </c>
      <c r="C53">
        <v>6</v>
      </c>
      <c r="D53">
        <v>2568000</v>
      </c>
      <c r="E53" t="s">
        <v>125</v>
      </c>
      <c r="F53" t="s">
        <v>11</v>
      </c>
      <c r="G53" t="s">
        <v>98</v>
      </c>
    </row>
    <row r="54" spans="1:7" x14ac:dyDescent="0.3">
      <c r="A54" t="s">
        <v>199</v>
      </c>
      <c r="B54" t="s">
        <v>122</v>
      </c>
      <c r="C54">
        <v>8</v>
      </c>
      <c r="D54">
        <v>3224000</v>
      </c>
      <c r="E54" t="s">
        <v>97</v>
      </c>
      <c r="F54" t="s">
        <v>10</v>
      </c>
      <c r="G54" t="s">
        <v>98</v>
      </c>
    </row>
    <row r="55" spans="1:7" x14ac:dyDescent="0.3">
      <c r="A55" t="s">
        <v>200</v>
      </c>
      <c r="B55" t="s">
        <v>201</v>
      </c>
      <c r="C55">
        <v>2</v>
      </c>
      <c r="D55">
        <v>1056000</v>
      </c>
      <c r="E55" t="s">
        <v>97</v>
      </c>
      <c r="F55" t="s">
        <v>12</v>
      </c>
      <c r="G55" t="s">
        <v>94</v>
      </c>
    </row>
    <row r="56" spans="1:7" x14ac:dyDescent="0.3">
      <c r="A56" t="s">
        <v>202</v>
      </c>
      <c r="B56" t="s">
        <v>203</v>
      </c>
      <c r="C56">
        <v>4</v>
      </c>
      <c r="D56">
        <v>1024000</v>
      </c>
      <c r="E56" t="s">
        <v>93</v>
      </c>
      <c r="F56" t="s">
        <v>11</v>
      </c>
      <c r="G56" t="s">
        <v>98</v>
      </c>
    </row>
    <row r="57" spans="1:7" x14ac:dyDescent="0.3">
      <c r="A57" t="s">
        <v>204</v>
      </c>
      <c r="B57" t="s">
        <v>165</v>
      </c>
      <c r="C57">
        <v>2</v>
      </c>
      <c r="D57">
        <v>520000</v>
      </c>
      <c r="E57" t="s">
        <v>125</v>
      </c>
      <c r="F57" t="s">
        <v>9</v>
      </c>
      <c r="G57" t="s">
        <v>98</v>
      </c>
    </row>
    <row r="58" spans="1:7" x14ac:dyDescent="0.3">
      <c r="A58" t="s">
        <v>205</v>
      </c>
      <c r="B58" t="s">
        <v>206</v>
      </c>
      <c r="C58">
        <v>1</v>
      </c>
      <c r="D58">
        <v>684000</v>
      </c>
      <c r="E58" t="s">
        <v>101</v>
      </c>
      <c r="F58" t="s">
        <v>11</v>
      </c>
      <c r="G58" t="s">
        <v>94</v>
      </c>
    </row>
    <row r="59" spans="1:7" x14ac:dyDescent="0.3">
      <c r="A59" t="s">
        <v>207</v>
      </c>
      <c r="B59" t="s">
        <v>208</v>
      </c>
      <c r="C59">
        <v>3</v>
      </c>
      <c r="D59">
        <v>1647000</v>
      </c>
      <c r="E59" t="s">
        <v>101</v>
      </c>
      <c r="F59" t="s">
        <v>12</v>
      </c>
      <c r="G59" t="s">
        <v>94</v>
      </c>
    </row>
    <row r="60" spans="1:7" x14ac:dyDescent="0.3">
      <c r="A60" t="s">
        <v>209</v>
      </c>
      <c r="B60" t="s">
        <v>210</v>
      </c>
      <c r="C60">
        <v>1</v>
      </c>
      <c r="D60">
        <v>304000</v>
      </c>
      <c r="E60" t="s">
        <v>101</v>
      </c>
      <c r="F60" t="s">
        <v>13</v>
      </c>
      <c r="G60" t="s">
        <v>98</v>
      </c>
    </row>
    <row r="61" spans="1:7" x14ac:dyDescent="0.3">
      <c r="A61" t="s">
        <v>211</v>
      </c>
      <c r="B61" t="s">
        <v>212</v>
      </c>
      <c r="C61">
        <v>4</v>
      </c>
      <c r="D61">
        <v>1312000</v>
      </c>
      <c r="E61" t="s">
        <v>125</v>
      </c>
      <c r="F61" t="s">
        <v>13</v>
      </c>
      <c r="G61" t="s">
        <v>94</v>
      </c>
    </row>
    <row r="62" spans="1:7" x14ac:dyDescent="0.3">
      <c r="A62" t="s">
        <v>213</v>
      </c>
      <c r="B62" t="s">
        <v>120</v>
      </c>
      <c r="C62">
        <v>8</v>
      </c>
      <c r="D62">
        <v>4936000</v>
      </c>
      <c r="E62" t="s">
        <v>125</v>
      </c>
      <c r="F62" t="s">
        <v>9</v>
      </c>
      <c r="G62" t="s">
        <v>94</v>
      </c>
    </row>
    <row r="63" spans="1:7" x14ac:dyDescent="0.3">
      <c r="A63" t="s">
        <v>214</v>
      </c>
      <c r="B63" t="s">
        <v>215</v>
      </c>
      <c r="C63">
        <v>4</v>
      </c>
      <c r="D63">
        <v>2084000</v>
      </c>
      <c r="E63" t="s">
        <v>101</v>
      </c>
      <c r="F63" t="s">
        <v>10</v>
      </c>
      <c r="G63" t="s">
        <v>98</v>
      </c>
    </row>
    <row r="64" spans="1:7" x14ac:dyDescent="0.3">
      <c r="A64" t="s">
        <v>216</v>
      </c>
      <c r="B64" t="s">
        <v>217</v>
      </c>
      <c r="C64">
        <v>1</v>
      </c>
      <c r="D64">
        <v>635000</v>
      </c>
      <c r="E64" t="s">
        <v>125</v>
      </c>
      <c r="F64" t="s">
        <v>9</v>
      </c>
      <c r="G64" t="s">
        <v>94</v>
      </c>
    </row>
    <row r="65" spans="1:7" x14ac:dyDescent="0.3">
      <c r="A65" t="s">
        <v>218</v>
      </c>
      <c r="B65" t="s">
        <v>219</v>
      </c>
      <c r="C65">
        <v>7</v>
      </c>
      <c r="D65">
        <v>2814000</v>
      </c>
      <c r="E65" t="s">
        <v>97</v>
      </c>
      <c r="F65" t="s">
        <v>12</v>
      </c>
      <c r="G65" t="s">
        <v>94</v>
      </c>
    </row>
    <row r="66" spans="1:7" x14ac:dyDescent="0.3">
      <c r="A66" t="s">
        <v>220</v>
      </c>
      <c r="B66" t="s">
        <v>221</v>
      </c>
      <c r="C66">
        <v>8</v>
      </c>
      <c r="D66">
        <v>5144000</v>
      </c>
      <c r="E66" t="s">
        <v>101</v>
      </c>
      <c r="F66" t="s">
        <v>11</v>
      </c>
      <c r="G66" t="s">
        <v>94</v>
      </c>
    </row>
    <row r="67" spans="1:7" x14ac:dyDescent="0.3">
      <c r="A67" t="s">
        <v>222</v>
      </c>
      <c r="B67" t="s">
        <v>223</v>
      </c>
      <c r="C67">
        <v>6</v>
      </c>
      <c r="D67">
        <v>1986000</v>
      </c>
      <c r="E67" t="s">
        <v>97</v>
      </c>
      <c r="F67" t="s">
        <v>13</v>
      </c>
      <c r="G67" t="s">
        <v>98</v>
      </c>
    </row>
    <row r="68" spans="1:7" x14ac:dyDescent="0.3">
      <c r="A68" t="s">
        <v>224</v>
      </c>
      <c r="B68" t="s">
        <v>225</v>
      </c>
      <c r="C68">
        <v>1</v>
      </c>
      <c r="D68">
        <v>370000</v>
      </c>
      <c r="E68" t="s">
        <v>108</v>
      </c>
      <c r="F68" t="s">
        <v>9</v>
      </c>
      <c r="G68" t="s">
        <v>98</v>
      </c>
    </row>
    <row r="69" spans="1:7" x14ac:dyDescent="0.3">
      <c r="A69" t="s">
        <v>226</v>
      </c>
      <c r="B69" t="s">
        <v>227</v>
      </c>
      <c r="C69">
        <v>9</v>
      </c>
      <c r="D69">
        <v>4473000</v>
      </c>
      <c r="E69" t="s">
        <v>93</v>
      </c>
      <c r="F69" t="s">
        <v>9</v>
      </c>
      <c r="G69" t="s">
        <v>94</v>
      </c>
    </row>
    <row r="70" spans="1:7" x14ac:dyDescent="0.3">
      <c r="A70" t="s">
        <v>228</v>
      </c>
      <c r="B70" t="s">
        <v>217</v>
      </c>
      <c r="C70">
        <v>11</v>
      </c>
      <c r="D70">
        <v>2805000</v>
      </c>
      <c r="E70" t="s">
        <v>125</v>
      </c>
      <c r="F70" t="s">
        <v>13</v>
      </c>
      <c r="G70" t="s">
        <v>98</v>
      </c>
    </row>
    <row r="71" spans="1:7" x14ac:dyDescent="0.3">
      <c r="A71" t="s">
        <v>229</v>
      </c>
      <c r="B71" t="s">
        <v>230</v>
      </c>
      <c r="C71">
        <v>2</v>
      </c>
      <c r="D71">
        <v>512000</v>
      </c>
      <c r="E71" t="s">
        <v>93</v>
      </c>
      <c r="F71" t="s">
        <v>11</v>
      </c>
      <c r="G71" t="s">
        <v>98</v>
      </c>
    </row>
    <row r="72" spans="1:7" x14ac:dyDescent="0.3">
      <c r="A72" t="s">
        <v>231</v>
      </c>
      <c r="B72" t="s">
        <v>232</v>
      </c>
      <c r="C72">
        <v>1</v>
      </c>
      <c r="D72">
        <v>265000</v>
      </c>
      <c r="E72" t="s">
        <v>101</v>
      </c>
      <c r="F72" t="s">
        <v>9</v>
      </c>
      <c r="G72" t="s">
        <v>98</v>
      </c>
    </row>
    <row r="73" spans="1:7" x14ac:dyDescent="0.3">
      <c r="A73" t="s">
        <v>233</v>
      </c>
      <c r="B73" t="s">
        <v>234</v>
      </c>
      <c r="C73">
        <v>1</v>
      </c>
      <c r="D73">
        <v>357000</v>
      </c>
      <c r="E73" t="s">
        <v>125</v>
      </c>
      <c r="F73" t="s">
        <v>11</v>
      </c>
      <c r="G73" t="s">
        <v>94</v>
      </c>
    </row>
    <row r="74" spans="1:7" x14ac:dyDescent="0.3">
      <c r="A74" t="s">
        <v>235</v>
      </c>
      <c r="B74" t="s">
        <v>236</v>
      </c>
      <c r="C74">
        <v>3</v>
      </c>
      <c r="D74">
        <v>918000</v>
      </c>
      <c r="E74" t="s">
        <v>97</v>
      </c>
      <c r="F74" t="s">
        <v>11</v>
      </c>
      <c r="G74" t="s">
        <v>94</v>
      </c>
    </row>
    <row r="75" spans="1:7" x14ac:dyDescent="0.3">
      <c r="A75" t="s">
        <v>237</v>
      </c>
      <c r="B75" t="s">
        <v>238</v>
      </c>
      <c r="C75">
        <v>7</v>
      </c>
      <c r="D75">
        <v>2870000</v>
      </c>
      <c r="E75" t="s">
        <v>125</v>
      </c>
      <c r="F75" t="s">
        <v>11</v>
      </c>
      <c r="G75" t="s">
        <v>98</v>
      </c>
    </row>
    <row r="76" spans="1:7" x14ac:dyDescent="0.3">
      <c r="A76" t="s">
        <v>239</v>
      </c>
      <c r="B76" t="s">
        <v>240</v>
      </c>
      <c r="C76">
        <v>3</v>
      </c>
      <c r="D76">
        <v>2058000</v>
      </c>
      <c r="E76" t="s">
        <v>101</v>
      </c>
      <c r="F76" t="s">
        <v>10</v>
      </c>
      <c r="G76" t="s">
        <v>94</v>
      </c>
    </row>
    <row r="77" spans="1:7" x14ac:dyDescent="0.3">
      <c r="A77" t="s">
        <v>241</v>
      </c>
      <c r="B77" t="s">
        <v>217</v>
      </c>
      <c r="C77">
        <v>2</v>
      </c>
      <c r="D77">
        <v>1094000</v>
      </c>
      <c r="E77" t="s">
        <v>93</v>
      </c>
      <c r="F77" t="s">
        <v>9</v>
      </c>
      <c r="G77" t="s">
        <v>94</v>
      </c>
    </row>
    <row r="78" spans="1:7" x14ac:dyDescent="0.3">
      <c r="A78" t="s">
        <v>242</v>
      </c>
      <c r="B78" t="s">
        <v>195</v>
      </c>
      <c r="C78">
        <v>8</v>
      </c>
      <c r="D78">
        <v>2016000</v>
      </c>
      <c r="E78" t="s">
        <v>108</v>
      </c>
      <c r="F78" t="s">
        <v>9</v>
      </c>
      <c r="G78" t="s">
        <v>98</v>
      </c>
    </row>
    <row r="79" spans="1:7" x14ac:dyDescent="0.3">
      <c r="A79" t="s">
        <v>243</v>
      </c>
      <c r="B79" t="s">
        <v>244</v>
      </c>
      <c r="C79">
        <v>8</v>
      </c>
      <c r="D79">
        <v>2728000</v>
      </c>
      <c r="E79" t="s">
        <v>108</v>
      </c>
      <c r="F79" t="s">
        <v>11</v>
      </c>
      <c r="G79" t="s">
        <v>94</v>
      </c>
    </row>
    <row r="80" spans="1:7" x14ac:dyDescent="0.3">
      <c r="A80" t="s">
        <v>245</v>
      </c>
      <c r="B80" t="s">
        <v>246</v>
      </c>
      <c r="C80">
        <v>2</v>
      </c>
      <c r="D80">
        <v>940000</v>
      </c>
      <c r="E80" t="s">
        <v>125</v>
      </c>
      <c r="F80" t="s">
        <v>11</v>
      </c>
      <c r="G80" t="s">
        <v>98</v>
      </c>
    </row>
    <row r="81" spans="1:7" x14ac:dyDescent="0.3">
      <c r="A81" t="s">
        <v>247</v>
      </c>
      <c r="B81" t="s">
        <v>248</v>
      </c>
      <c r="C81">
        <v>3</v>
      </c>
      <c r="D81">
        <v>1797000</v>
      </c>
      <c r="E81" t="s">
        <v>101</v>
      </c>
      <c r="F81" t="s">
        <v>13</v>
      </c>
      <c r="G81" t="s">
        <v>98</v>
      </c>
    </row>
    <row r="82" spans="1:7" x14ac:dyDescent="0.3">
      <c r="A82" t="s">
        <v>249</v>
      </c>
      <c r="B82" t="s">
        <v>250</v>
      </c>
      <c r="C82">
        <v>12</v>
      </c>
      <c r="D82">
        <v>3288000</v>
      </c>
      <c r="E82" t="s">
        <v>93</v>
      </c>
      <c r="F82" t="s">
        <v>10</v>
      </c>
      <c r="G82" t="s">
        <v>94</v>
      </c>
    </row>
    <row r="83" spans="1:7" x14ac:dyDescent="0.3">
      <c r="A83" t="s">
        <v>251</v>
      </c>
      <c r="B83" t="s">
        <v>252</v>
      </c>
      <c r="C83">
        <v>8</v>
      </c>
      <c r="D83">
        <v>4704000</v>
      </c>
      <c r="E83" t="s">
        <v>101</v>
      </c>
      <c r="F83" t="s">
        <v>11</v>
      </c>
      <c r="G83" t="s">
        <v>98</v>
      </c>
    </row>
    <row r="84" spans="1:7" x14ac:dyDescent="0.3">
      <c r="A84" t="s">
        <v>253</v>
      </c>
      <c r="B84" t="s">
        <v>254</v>
      </c>
      <c r="C84">
        <v>3</v>
      </c>
      <c r="D84">
        <v>1347000</v>
      </c>
      <c r="E84" t="s">
        <v>93</v>
      </c>
      <c r="F84" t="s">
        <v>12</v>
      </c>
      <c r="G84" t="s">
        <v>94</v>
      </c>
    </row>
    <row r="85" spans="1:7" x14ac:dyDescent="0.3">
      <c r="A85" t="s">
        <v>255</v>
      </c>
      <c r="B85" t="s">
        <v>256</v>
      </c>
      <c r="C85">
        <v>1</v>
      </c>
      <c r="D85">
        <v>335000</v>
      </c>
      <c r="E85" t="s">
        <v>101</v>
      </c>
      <c r="F85" t="s">
        <v>12</v>
      </c>
      <c r="G85" t="s">
        <v>98</v>
      </c>
    </row>
    <row r="86" spans="1:7" x14ac:dyDescent="0.3">
      <c r="A86" t="s">
        <v>257</v>
      </c>
      <c r="B86" t="s">
        <v>258</v>
      </c>
      <c r="C86">
        <v>1</v>
      </c>
      <c r="D86">
        <v>681000</v>
      </c>
      <c r="E86" t="s">
        <v>125</v>
      </c>
      <c r="F86" t="s">
        <v>13</v>
      </c>
      <c r="G86" t="s">
        <v>94</v>
      </c>
    </row>
    <row r="87" spans="1:7" x14ac:dyDescent="0.3">
      <c r="A87" t="s">
        <v>259</v>
      </c>
      <c r="B87" t="s">
        <v>234</v>
      </c>
      <c r="C87">
        <v>10</v>
      </c>
      <c r="D87">
        <v>2660000</v>
      </c>
      <c r="E87" t="s">
        <v>97</v>
      </c>
      <c r="F87" t="s">
        <v>12</v>
      </c>
      <c r="G87" t="s">
        <v>94</v>
      </c>
    </row>
    <row r="88" spans="1:7" x14ac:dyDescent="0.3">
      <c r="A88" t="s">
        <v>260</v>
      </c>
      <c r="B88" t="s">
        <v>261</v>
      </c>
      <c r="C88">
        <v>1</v>
      </c>
      <c r="D88">
        <v>492000</v>
      </c>
      <c r="E88" t="s">
        <v>101</v>
      </c>
      <c r="F88" t="s">
        <v>11</v>
      </c>
      <c r="G88" t="s">
        <v>94</v>
      </c>
    </row>
    <row r="89" spans="1:7" x14ac:dyDescent="0.3">
      <c r="A89" t="s">
        <v>262</v>
      </c>
      <c r="B89" t="s">
        <v>206</v>
      </c>
      <c r="C89">
        <v>11</v>
      </c>
      <c r="D89">
        <v>5434000</v>
      </c>
      <c r="E89" t="s">
        <v>108</v>
      </c>
      <c r="F89" t="s">
        <v>11</v>
      </c>
      <c r="G89" t="s">
        <v>98</v>
      </c>
    </row>
    <row r="90" spans="1:7" x14ac:dyDescent="0.3">
      <c r="A90" t="s">
        <v>263</v>
      </c>
      <c r="B90" t="s">
        <v>180</v>
      </c>
      <c r="C90">
        <v>8</v>
      </c>
      <c r="D90">
        <v>3960000</v>
      </c>
      <c r="E90" t="s">
        <v>125</v>
      </c>
      <c r="F90" t="s">
        <v>12</v>
      </c>
      <c r="G90" t="s">
        <v>98</v>
      </c>
    </row>
    <row r="91" spans="1:7" x14ac:dyDescent="0.3">
      <c r="A91" t="s">
        <v>264</v>
      </c>
      <c r="B91" t="s">
        <v>265</v>
      </c>
      <c r="C91">
        <v>9</v>
      </c>
      <c r="D91">
        <v>5841000</v>
      </c>
      <c r="E91" t="s">
        <v>108</v>
      </c>
      <c r="F91" t="s">
        <v>9</v>
      </c>
      <c r="G91" t="s">
        <v>94</v>
      </c>
    </row>
    <row r="92" spans="1:7" x14ac:dyDescent="0.3">
      <c r="A92" t="s">
        <v>266</v>
      </c>
      <c r="B92" t="s">
        <v>267</v>
      </c>
      <c r="C92">
        <v>1</v>
      </c>
      <c r="D92">
        <v>399000</v>
      </c>
      <c r="E92" t="s">
        <v>93</v>
      </c>
      <c r="F92" t="s">
        <v>11</v>
      </c>
      <c r="G92" t="s">
        <v>94</v>
      </c>
    </row>
    <row r="93" spans="1:7" x14ac:dyDescent="0.3">
      <c r="A93" t="s">
        <v>268</v>
      </c>
      <c r="B93" t="s">
        <v>169</v>
      </c>
      <c r="C93">
        <v>1</v>
      </c>
      <c r="D93">
        <v>749000</v>
      </c>
      <c r="E93" t="s">
        <v>125</v>
      </c>
      <c r="F93" t="s">
        <v>11</v>
      </c>
      <c r="G93" t="s">
        <v>98</v>
      </c>
    </row>
    <row r="94" spans="1:7" x14ac:dyDescent="0.3">
      <c r="A94" t="s">
        <v>269</v>
      </c>
      <c r="B94" t="s">
        <v>270</v>
      </c>
      <c r="C94">
        <v>9</v>
      </c>
      <c r="D94">
        <v>2709000</v>
      </c>
      <c r="E94" t="s">
        <v>125</v>
      </c>
      <c r="F94" t="s">
        <v>10</v>
      </c>
      <c r="G94" t="s">
        <v>94</v>
      </c>
    </row>
    <row r="95" spans="1:7" x14ac:dyDescent="0.3">
      <c r="A95" t="s">
        <v>271</v>
      </c>
      <c r="B95" t="s">
        <v>227</v>
      </c>
      <c r="C95">
        <v>6</v>
      </c>
      <c r="D95">
        <v>1440000</v>
      </c>
      <c r="E95" t="s">
        <v>125</v>
      </c>
      <c r="F95" t="s">
        <v>9</v>
      </c>
      <c r="G95" t="s">
        <v>94</v>
      </c>
    </row>
    <row r="96" spans="1:7" x14ac:dyDescent="0.3">
      <c r="A96" t="s">
        <v>272</v>
      </c>
      <c r="B96" t="s">
        <v>273</v>
      </c>
      <c r="C96">
        <v>2</v>
      </c>
      <c r="D96">
        <v>860000</v>
      </c>
      <c r="E96" t="s">
        <v>97</v>
      </c>
      <c r="F96" t="s">
        <v>13</v>
      </c>
      <c r="G96" t="s">
        <v>98</v>
      </c>
    </row>
    <row r="97" spans="1:7" x14ac:dyDescent="0.3">
      <c r="A97" t="s">
        <v>274</v>
      </c>
      <c r="B97" t="s">
        <v>275</v>
      </c>
      <c r="C97">
        <v>2</v>
      </c>
      <c r="D97">
        <v>1096000</v>
      </c>
      <c r="E97" t="s">
        <v>101</v>
      </c>
      <c r="F97" t="s">
        <v>9</v>
      </c>
      <c r="G97" t="s">
        <v>98</v>
      </c>
    </row>
    <row r="98" spans="1:7" x14ac:dyDescent="0.3">
      <c r="A98" t="s">
        <v>276</v>
      </c>
      <c r="B98" t="s">
        <v>277</v>
      </c>
      <c r="C98">
        <v>1</v>
      </c>
      <c r="D98">
        <v>335000</v>
      </c>
      <c r="E98" t="s">
        <v>108</v>
      </c>
      <c r="F98" t="s">
        <v>13</v>
      </c>
      <c r="G98" t="s">
        <v>94</v>
      </c>
    </row>
    <row r="99" spans="1:7" x14ac:dyDescent="0.3">
      <c r="A99" t="s">
        <v>278</v>
      </c>
      <c r="B99" t="s">
        <v>279</v>
      </c>
      <c r="C99">
        <v>7</v>
      </c>
      <c r="D99">
        <v>5005000</v>
      </c>
      <c r="E99" t="s">
        <v>93</v>
      </c>
      <c r="F99" t="s">
        <v>9</v>
      </c>
      <c r="G99" t="s">
        <v>98</v>
      </c>
    </row>
    <row r="100" spans="1:7" x14ac:dyDescent="0.3">
      <c r="A100" t="s">
        <v>280</v>
      </c>
      <c r="B100" t="s">
        <v>281</v>
      </c>
      <c r="C100">
        <v>6</v>
      </c>
      <c r="D100">
        <v>4296000</v>
      </c>
      <c r="E100" t="s">
        <v>108</v>
      </c>
      <c r="F100" t="s">
        <v>13</v>
      </c>
      <c r="G100" t="s">
        <v>98</v>
      </c>
    </row>
    <row r="101" spans="1:7" x14ac:dyDescent="0.3">
      <c r="A101" t="s">
        <v>282</v>
      </c>
      <c r="B101" t="s">
        <v>283</v>
      </c>
      <c r="C101">
        <v>8</v>
      </c>
      <c r="D101">
        <v>2120000</v>
      </c>
      <c r="E101" t="s">
        <v>108</v>
      </c>
      <c r="F101" t="s">
        <v>11</v>
      </c>
      <c r="G101" t="s">
        <v>94</v>
      </c>
    </row>
    <row r="102" spans="1:7" x14ac:dyDescent="0.3">
      <c r="A102" t="s">
        <v>284</v>
      </c>
      <c r="B102" t="s">
        <v>285</v>
      </c>
      <c r="C102">
        <v>2</v>
      </c>
      <c r="D102">
        <v>1248000</v>
      </c>
      <c r="E102" t="s">
        <v>97</v>
      </c>
      <c r="F102" t="s">
        <v>11</v>
      </c>
      <c r="G102" t="s">
        <v>98</v>
      </c>
    </row>
    <row r="103" spans="1:7" x14ac:dyDescent="0.3">
      <c r="A103" t="s">
        <v>286</v>
      </c>
      <c r="B103" t="s">
        <v>105</v>
      </c>
      <c r="C103">
        <v>2</v>
      </c>
      <c r="D103">
        <v>514000</v>
      </c>
      <c r="E103" t="s">
        <v>108</v>
      </c>
      <c r="F103" t="s">
        <v>11</v>
      </c>
      <c r="G103" t="s">
        <v>94</v>
      </c>
    </row>
    <row r="104" spans="1:7" x14ac:dyDescent="0.3">
      <c r="A104" t="s">
        <v>287</v>
      </c>
      <c r="B104" t="s">
        <v>288</v>
      </c>
      <c r="C104">
        <v>2</v>
      </c>
      <c r="D104">
        <v>1416000</v>
      </c>
      <c r="E104" t="s">
        <v>93</v>
      </c>
      <c r="F104" t="s">
        <v>13</v>
      </c>
      <c r="G104" t="s">
        <v>94</v>
      </c>
    </row>
    <row r="105" spans="1:7" x14ac:dyDescent="0.3">
      <c r="A105" t="s">
        <v>289</v>
      </c>
      <c r="B105" t="s">
        <v>288</v>
      </c>
      <c r="C105">
        <v>6</v>
      </c>
      <c r="D105">
        <v>2526000</v>
      </c>
      <c r="E105" t="s">
        <v>97</v>
      </c>
      <c r="F105" t="s">
        <v>11</v>
      </c>
      <c r="G105" t="s">
        <v>94</v>
      </c>
    </row>
    <row r="106" spans="1:7" x14ac:dyDescent="0.3">
      <c r="A106" t="s">
        <v>290</v>
      </c>
      <c r="B106" t="s">
        <v>291</v>
      </c>
      <c r="C106">
        <v>11</v>
      </c>
      <c r="D106">
        <v>6435000</v>
      </c>
      <c r="E106" t="s">
        <v>97</v>
      </c>
      <c r="F106" t="s">
        <v>11</v>
      </c>
      <c r="G106" t="s">
        <v>98</v>
      </c>
    </row>
    <row r="107" spans="1:7" x14ac:dyDescent="0.3">
      <c r="A107" t="s">
        <v>292</v>
      </c>
      <c r="B107" t="s">
        <v>293</v>
      </c>
      <c r="C107">
        <v>6</v>
      </c>
      <c r="D107">
        <v>3384000</v>
      </c>
      <c r="E107" t="s">
        <v>125</v>
      </c>
      <c r="F107" t="s">
        <v>12</v>
      </c>
      <c r="G107" t="s">
        <v>94</v>
      </c>
    </row>
    <row r="108" spans="1:7" x14ac:dyDescent="0.3">
      <c r="A108" t="s">
        <v>294</v>
      </c>
      <c r="B108" t="s">
        <v>295</v>
      </c>
      <c r="C108">
        <v>7</v>
      </c>
      <c r="D108">
        <v>2807000</v>
      </c>
      <c r="E108" t="s">
        <v>101</v>
      </c>
      <c r="F108" t="s">
        <v>11</v>
      </c>
      <c r="G108" t="s">
        <v>94</v>
      </c>
    </row>
    <row r="109" spans="1:7" x14ac:dyDescent="0.3">
      <c r="A109" t="s">
        <v>296</v>
      </c>
      <c r="B109" t="s">
        <v>297</v>
      </c>
      <c r="C109">
        <v>8</v>
      </c>
      <c r="D109">
        <v>3384000</v>
      </c>
      <c r="E109" t="s">
        <v>125</v>
      </c>
      <c r="F109" t="s">
        <v>10</v>
      </c>
      <c r="G109" t="s">
        <v>94</v>
      </c>
    </row>
    <row r="110" spans="1:7" x14ac:dyDescent="0.3">
      <c r="A110" t="s">
        <v>298</v>
      </c>
      <c r="B110" t="s">
        <v>299</v>
      </c>
      <c r="C110">
        <v>9</v>
      </c>
      <c r="D110">
        <v>5544000</v>
      </c>
      <c r="E110" t="s">
        <v>125</v>
      </c>
      <c r="F110" t="s">
        <v>9</v>
      </c>
      <c r="G110" t="s">
        <v>98</v>
      </c>
    </row>
    <row r="111" spans="1:7" x14ac:dyDescent="0.3">
      <c r="A111" t="s">
        <v>300</v>
      </c>
      <c r="B111" t="s">
        <v>301</v>
      </c>
      <c r="C111">
        <v>4</v>
      </c>
      <c r="D111">
        <v>1224000</v>
      </c>
      <c r="E111" t="s">
        <v>108</v>
      </c>
      <c r="F111" t="s">
        <v>11</v>
      </c>
      <c r="G111" t="s">
        <v>98</v>
      </c>
    </row>
    <row r="112" spans="1:7" x14ac:dyDescent="0.3">
      <c r="A112" t="s">
        <v>302</v>
      </c>
      <c r="B112" t="s">
        <v>303</v>
      </c>
      <c r="C112">
        <v>7</v>
      </c>
      <c r="D112">
        <v>2541000</v>
      </c>
      <c r="E112" t="s">
        <v>125</v>
      </c>
      <c r="F112" t="s">
        <v>12</v>
      </c>
      <c r="G112" t="s">
        <v>94</v>
      </c>
    </row>
    <row r="113" spans="1:7" x14ac:dyDescent="0.3">
      <c r="A113" t="s">
        <v>304</v>
      </c>
      <c r="B113" t="s">
        <v>305</v>
      </c>
      <c r="C113">
        <v>1</v>
      </c>
      <c r="D113">
        <v>547000</v>
      </c>
      <c r="E113" t="s">
        <v>97</v>
      </c>
      <c r="F113" t="s">
        <v>13</v>
      </c>
      <c r="G113" t="s">
        <v>98</v>
      </c>
    </row>
    <row r="114" spans="1:7" x14ac:dyDescent="0.3">
      <c r="A114" t="s">
        <v>306</v>
      </c>
      <c r="B114" t="s">
        <v>307</v>
      </c>
      <c r="C114">
        <v>5</v>
      </c>
      <c r="D114">
        <v>1885000</v>
      </c>
      <c r="E114" t="s">
        <v>125</v>
      </c>
      <c r="F114" t="s">
        <v>11</v>
      </c>
      <c r="G114" t="s">
        <v>98</v>
      </c>
    </row>
    <row r="115" spans="1:7" x14ac:dyDescent="0.3">
      <c r="A115" t="s">
        <v>308</v>
      </c>
      <c r="B115" t="s">
        <v>309</v>
      </c>
      <c r="C115">
        <v>6</v>
      </c>
      <c r="D115">
        <v>4098000</v>
      </c>
      <c r="E115" t="s">
        <v>97</v>
      </c>
      <c r="F115" t="s">
        <v>12</v>
      </c>
      <c r="G115" t="s">
        <v>94</v>
      </c>
    </row>
    <row r="116" spans="1:7" x14ac:dyDescent="0.3">
      <c r="A116" t="s">
        <v>310</v>
      </c>
      <c r="B116" t="s">
        <v>311</v>
      </c>
      <c r="C116">
        <v>7</v>
      </c>
      <c r="D116">
        <v>4172000</v>
      </c>
      <c r="E116" t="s">
        <v>108</v>
      </c>
      <c r="F116" t="s">
        <v>13</v>
      </c>
      <c r="G116" t="s">
        <v>98</v>
      </c>
    </row>
    <row r="117" spans="1:7" x14ac:dyDescent="0.3">
      <c r="A117" t="s">
        <v>312</v>
      </c>
      <c r="B117" t="s">
        <v>313</v>
      </c>
      <c r="C117">
        <v>1</v>
      </c>
      <c r="D117">
        <v>281000</v>
      </c>
      <c r="E117" t="s">
        <v>97</v>
      </c>
      <c r="F117" t="s">
        <v>12</v>
      </c>
      <c r="G117" t="s">
        <v>94</v>
      </c>
    </row>
    <row r="118" spans="1:7" x14ac:dyDescent="0.3">
      <c r="A118" t="s">
        <v>314</v>
      </c>
      <c r="B118" t="s">
        <v>315</v>
      </c>
      <c r="C118">
        <v>8</v>
      </c>
      <c r="D118">
        <v>3960000</v>
      </c>
      <c r="E118" t="s">
        <v>93</v>
      </c>
      <c r="F118" t="s">
        <v>12</v>
      </c>
      <c r="G118" t="s">
        <v>94</v>
      </c>
    </row>
    <row r="119" spans="1:7" x14ac:dyDescent="0.3">
      <c r="A119" t="s">
        <v>316</v>
      </c>
      <c r="B119" t="s">
        <v>217</v>
      </c>
      <c r="C119">
        <v>4</v>
      </c>
      <c r="D119">
        <v>1908000</v>
      </c>
      <c r="E119" t="s">
        <v>125</v>
      </c>
      <c r="F119" t="s">
        <v>11</v>
      </c>
      <c r="G119" t="s">
        <v>98</v>
      </c>
    </row>
    <row r="120" spans="1:7" x14ac:dyDescent="0.3">
      <c r="A120" t="s">
        <v>317</v>
      </c>
      <c r="B120" t="s">
        <v>318</v>
      </c>
      <c r="C120">
        <v>2</v>
      </c>
      <c r="D120">
        <v>1072000</v>
      </c>
      <c r="E120" t="s">
        <v>97</v>
      </c>
      <c r="F120" t="s">
        <v>13</v>
      </c>
      <c r="G120" t="s">
        <v>98</v>
      </c>
    </row>
    <row r="121" spans="1:7" x14ac:dyDescent="0.3">
      <c r="A121" t="s">
        <v>319</v>
      </c>
      <c r="B121" t="s">
        <v>124</v>
      </c>
      <c r="C121">
        <v>3</v>
      </c>
      <c r="D121">
        <v>756000</v>
      </c>
      <c r="E121" t="s">
        <v>108</v>
      </c>
      <c r="F121" t="s">
        <v>12</v>
      </c>
      <c r="G121" t="s">
        <v>98</v>
      </c>
    </row>
    <row r="122" spans="1:7" x14ac:dyDescent="0.3">
      <c r="A122" t="s">
        <v>320</v>
      </c>
      <c r="B122" t="s">
        <v>321</v>
      </c>
      <c r="C122">
        <v>5</v>
      </c>
      <c r="D122">
        <v>3515000</v>
      </c>
      <c r="E122" t="s">
        <v>125</v>
      </c>
      <c r="F122" t="s">
        <v>11</v>
      </c>
      <c r="G122" t="s">
        <v>98</v>
      </c>
    </row>
    <row r="123" spans="1:7" x14ac:dyDescent="0.3">
      <c r="A123" t="s">
        <v>322</v>
      </c>
      <c r="B123" t="s">
        <v>323</v>
      </c>
      <c r="C123">
        <v>5</v>
      </c>
      <c r="D123">
        <v>2370000</v>
      </c>
      <c r="E123" t="s">
        <v>125</v>
      </c>
      <c r="F123" t="s">
        <v>12</v>
      </c>
      <c r="G123" t="s">
        <v>94</v>
      </c>
    </row>
    <row r="124" spans="1:7" x14ac:dyDescent="0.3">
      <c r="A124" t="s">
        <v>324</v>
      </c>
      <c r="B124" t="s">
        <v>325</v>
      </c>
      <c r="C124">
        <v>10</v>
      </c>
      <c r="D124">
        <v>3490000</v>
      </c>
      <c r="E124" t="s">
        <v>108</v>
      </c>
      <c r="F124" t="s">
        <v>13</v>
      </c>
      <c r="G124" t="s">
        <v>94</v>
      </c>
    </row>
    <row r="125" spans="1:7" x14ac:dyDescent="0.3">
      <c r="A125" t="s">
        <v>326</v>
      </c>
      <c r="B125" t="s">
        <v>327</v>
      </c>
      <c r="C125">
        <v>1</v>
      </c>
      <c r="D125">
        <v>275000</v>
      </c>
      <c r="E125" t="s">
        <v>101</v>
      </c>
      <c r="F125" t="s">
        <v>13</v>
      </c>
      <c r="G125" t="s">
        <v>98</v>
      </c>
    </row>
    <row r="126" spans="1:7" x14ac:dyDescent="0.3">
      <c r="A126" t="s">
        <v>328</v>
      </c>
      <c r="B126" t="s">
        <v>329</v>
      </c>
      <c r="C126">
        <v>1</v>
      </c>
      <c r="D126">
        <v>656000</v>
      </c>
      <c r="E126" t="s">
        <v>97</v>
      </c>
      <c r="F126" t="s">
        <v>10</v>
      </c>
      <c r="G126" t="s">
        <v>94</v>
      </c>
    </row>
    <row r="127" spans="1:7" x14ac:dyDescent="0.3">
      <c r="A127" t="s">
        <v>330</v>
      </c>
      <c r="B127" t="s">
        <v>331</v>
      </c>
      <c r="C127">
        <v>3</v>
      </c>
      <c r="D127">
        <v>786000</v>
      </c>
      <c r="E127" t="s">
        <v>93</v>
      </c>
      <c r="F127" t="s">
        <v>9</v>
      </c>
      <c r="G127" t="s">
        <v>98</v>
      </c>
    </row>
    <row r="128" spans="1:7" x14ac:dyDescent="0.3">
      <c r="A128" t="s">
        <v>332</v>
      </c>
      <c r="B128" t="s">
        <v>333</v>
      </c>
      <c r="C128">
        <v>1</v>
      </c>
      <c r="D128">
        <v>319000</v>
      </c>
      <c r="E128" t="s">
        <v>125</v>
      </c>
      <c r="F128" t="s">
        <v>9</v>
      </c>
      <c r="G128" t="s">
        <v>94</v>
      </c>
    </row>
    <row r="129" spans="1:7" x14ac:dyDescent="0.3">
      <c r="A129" t="s">
        <v>334</v>
      </c>
      <c r="B129" t="s">
        <v>335</v>
      </c>
      <c r="C129">
        <v>6</v>
      </c>
      <c r="D129">
        <v>2760000</v>
      </c>
      <c r="E129" t="s">
        <v>101</v>
      </c>
      <c r="F129" t="s">
        <v>9</v>
      </c>
      <c r="G129" t="s">
        <v>94</v>
      </c>
    </row>
    <row r="130" spans="1:7" x14ac:dyDescent="0.3">
      <c r="A130" t="s">
        <v>336</v>
      </c>
      <c r="B130" t="s">
        <v>337</v>
      </c>
      <c r="C130">
        <v>6</v>
      </c>
      <c r="D130">
        <v>3012000</v>
      </c>
      <c r="E130" t="s">
        <v>101</v>
      </c>
      <c r="F130" t="s">
        <v>10</v>
      </c>
      <c r="G130" t="s">
        <v>98</v>
      </c>
    </row>
    <row r="131" spans="1:7" x14ac:dyDescent="0.3">
      <c r="A131" t="s">
        <v>338</v>
      </c>
      <c r="B131" t="s">
        <v>114</v>
      </c>
      <c r="C131">
        <v>9</v>
      </c>
      <c r="D131">
        <v>3078000</v>
      </c>
      <c r="E131" t="s">
        <v>93</v>
      </c>
      <c r="F131" t="s">
        <v>12</v>
      </c>
      <c r="G131" t="s">
        <v>94</v>
      </c>
    </row>
    <row r="132" spans="1:7" x14ac:dyDescent="0.3">
      <c r="A132" t="s">
        <v>339</v>
      </c>
      <c r="B132" t="s">
        <v>273</v>
      </c>
      <c r="C132">
        <v>3</v>
      </c>
      <c r="D132">
        <v>1236000</v>
      </c>
      <c r="E132" t="s">
        <v>97</v>
      </c>
      <c r="F132" t="s">
        <v>11</v>
      </c>
      <c r="G132" t="s">
        <v>98</v>
      </c>
    </row>
    <row r="133" spans="1:7" x14ac:dyDescent="0.3">
      <c r="A133" t="s">
        <v>340</v>
      </c>
      <c r="B133" t="s">
        <v>321</v>
      </c>
      <c r="C133">
        <v>1</v>
      </c>
      <c r="D133">
        <v>250000</v>
      </c>
      <c r="E133" t="s">
        <v>101</v>
      </c>
      <c r="F133" t="s">
        <v>13</v>
      </c>
      <c r="G133" t="s">
        <v>94</v>
      </c>
    </row>
    <row r="134" spans="1:7" x14ac:dyDescent="0.3">
      <c r="A134" t="s">
        <v>341</v>
      </c>
      <c r="B134" t="s">
        <v>342</v>
      </c>
      <c r="C134">
        <v>5</v>
      </c>
      <c r="D134">
        <v>3415000</v>
      </c>
      <c r="E134" t="s">
        <v>125</v>
      </c>
      <c r="F134" t="s">
        <v>10</v>
      </c>
      <c r="G134" t="s">
        <v>98</v>
      </c>
    </row>
    <row r="135" spans="1:7" x14ac:dyDescent="0.3">
      <c r="A135" t="s">
        <v>343</v>
      </c>
      <c r="B135" t="s">
        <v>344</v>
      </c>
      <c r="C135">
        <v>6</v>
      </c>
      <c r="D135">
        <v>1734000</v>
      </c>
      <c r="E135" t="s">
        <v>97</v>
      </c>
      <c r="F135" t="s">
        <v>9</v>
      </c>
      <c r="G135" t="s">
        <v>98</v>
      </c>
    </row>
    <row r="136" spans="1:7" x14ac:dyDescent="0.3">
      <c r="A136" t="s">
        <v>345</v>
      </c>
      <c r="B136" t="s">
        <v>346</v>
      </c>
      <c r="C136">
        <v>1</v>
      </c>
      <c r="D136">
        <v>257000</v>
      </c>
      <c r="E136" t="s">
        <v>97</v>
      </c>
      <c r="F136" t="s">
        <v>9</v>
      </c>
      <c r="G136" t="s">
        <v>94</v>
      </c>
    </row>
    <row r="137" spans="1:7" x14ac:dyDescent="0.3">
      <c r="A137" t="s">
        <v>347</v>
      </c>
      <c r="B137" t="s">
        <v>107</v>
      </c>
      <c r="C137">
        <v>1</v>
      </c>
      <c r="D137">
        <v>532000</v>
      </c>
      <c r="E137" t="s">
        <v>97</v>
      </c>
      <c r="F137" t="s">
        <v>9</v>
      </c>
      <c r="G137" t="s">
        <v>98</v>
      </c>
    </row>
    <row r="138" spans="1:7" x14ac:dyDescent="0.3">
      <c r="A138" t="s">
        <v>348</v>
      </c>
      <c r="B138" t="s">
        <v>349</v>
      </c>
      <c r="C138">
        <v>2</v>
      </c>
      <c r="D138">
        <v>1148000</v>
      </c>
      <c r="E138" t="s">
        <v>108</v>
      </c>
      <c r="F138" t="s">
        <v>11</v>
      </c>
      <c r="G138" t="s">
        <v>98</v>
      </c>
    </row>
    <row r="139" spans="1:7" x14ac:dyDescent="0.3">
      <c r="A139" t="s">
        <v>350</v>
      </c>
      <c r="B139" t="s">
        <v>351</v>
      </c>
      <c r="C139">
        <v>1</v>
      </c>
      <c r="D139">
        <v>497000</v>
      </c>
      <c r="E139" t="s">
        <v>108</v>
      </c>
      <c r="F139" t="s">
        <v>13</v>
      </c>
      <c r="G139" t="s">
        <v>98</v>
      </c>
    </row>
    <row r="140" spans="1:7" x14ac:dyDescent="0.3">
      <c r="A140" t="s">
        <v>352</v>
      </c>
      <c r="B140" t="s">
        <v>161</v>
      </c>
      <c r="C140">
        <v>4</v>
      </c>
      <c r="D140">
        <v>1200000</v>
      </c>
      <c r="E140" t="s">
        <v>108</v>
      </c>
      <c r="F140" t="s">
        <v>9</v>
      </c>
      <c r="G140" t="s">
        <v>98</v>
      </c>
    </row>
    <row r="141" spans="1:7" x14ac:dyDescent="0.3">
      <c r="A141" t="s">
        <v>353</v>
      </c>
      <c r="B141" t="s">
        <v>354</v>
      </c>
      <c r="C141">
        <v>1</v>
      </c>
      <c r="D141">
        <v>453000</v>
      </c>
      <c r="E141" t="s">
        <v>108</v>
      </c>
      <c r="F141" t="s">
        <v>12</v>
      </c>
      <c r="G141" t="s">
        <v>94</v>
      </c>
    </row>
    <row r="142" spans="1:7" x14ac:dyDescent="0.3">
      <c r="A142" t="s">
        <v>355</v>
      </c>
      <c r="B142" t="s">
        <v>100</v>
      </c>
      <c r="C142">
        <v>3</v>
      </c>
      <c r="D142">
        <v>1698000</v>
      </c>
      <c r="E142" t="s">
        <v>101</v>
      </c>
      <c r="F142" t="s">
        <v>12</v>
      </c>
      <c r="G142" t="s">
        <v>98</v>
      </c>
    </row>
    <row r="143" spans="1:7" x14ac:dyDescent="0.3">
      <c r="A143" t="s">
        <v>356</v>
      </c>
      <c r="B143" t="s">
        <v>206</v>
      </c>
      <c r="C143">
        <v>9</v>
      </c>
      <c r="D143">
        <v>3951000</v>
      </c>
      <c r="E143" t="s">
        <v>93</v>
      </c>
      <c r="F143" t="s">
        <v>12</v>
      </c>
      <c r="G143" t="s">
        <v>98</v>
      </c>
    </row>
    <row r="144" spans="1:7" x14ac:dyDescent="0.3">
      <c r="A144" t="s">
        <v>357</v>
      </c>
      <c r="B144" t="s">
        <v>358</v>
      </c>
      <c r="C144">
        <v>4</v>
      </c>
      <c r="D144">
        <v>1060000</v>
      </c>
      <c r="E144" t="s">
        <v>97</v>
      </c>
      <c r="F144" t="s">
        <v>10</v>
      </c>
      <c r="G144" t="s">
        <v>94</v>
      </c>
    </row>
    <row r="145" spans="1:7" x14ac:dyDescent="0.3">
      <c r="A145" t="s">
        <v>359</v>
      </c>
      <c r="B145" t="s">
        <v>360</v>
      </c>
      <c r="C145">
        <v>2</v>
      </c>
      <c r="D145">
        <v>1132000</v>
      </c>
      <c r="E145" t="s">
        <v>108</v>
      </c>
      <c r="F145" t="s">
        <v>10</v>
      </c>
      <c r="G145" t="s">
        <v>98</v>
      </c>
    </row>
    <row r="146" spans="1:7" x14ac:dyDescent="0.3">
      <c r="A146" t="s">
        <v>361</v>
      </c>
      <c r="B146" t="s">
        <v>362</v>
      </c>
      <c r="C146">
        <v>8</v>
      </c>
      <c r="D146">
        <v>2504000</v>
      </c>
      <c r="E146" t="s">
        <v>125</v>
      </c>
      <c r="F146" t="s">
        <v>12</v>
      </c>
      <c r="G146" t="s">
        <v>94</v>
      </c>
    </row>
    <row r="147" spans="1:7" x14ac:dyDescent="0.3">
      <c r="A147" t="s">
        <v>363</v>
      </c>
      <c r="B147" t="s">
        <v>364</v>
      </c>
      <c r="C147">
        <v>2</v>
      </c>
      <c r="D147">
        <v>574000</v>
      </c>
      <c r="E147" t="s">
        <v>108</v>
      </c>
      <c r="F147" t="s">
        <v>9</v>
      </c>
      <c r="G147" t="s">
        <v>94</v>
      </c>
    </row>
    <row r="148" spans="1:7" x14ac:dyDescent="0.3">
      <c r="A148" t="s">
        <v>365</v>
      </c>
      <c r="B148" t="s">
        <v>366</v>
      </c>
      <c r="C148">
        <v>4</v>
      </c>
      <c r="D148">
        <v>996000</v>
      </c>
      <c r="E148" t="s">
        <v>101</v>
      </c>
      <c r="F148" t="s">
        <v>13</v>
      </c>
      <c r="G148" t="s">
        <v>94</v>
      </c>
    </row>
    <row r="149" spans="1:7" x14ac:dyDescent="0.3">
      <c r="A149" t="s">
        <v>367</v>
      </c>
      <c r="B149" t="s">
        <v>368</v>
      </c>
      <c r="C149">
        <v>1</v>
      </c>
      <c r="D149">
        <v>271000</v>
      </c>
      <c r="E149" t="s">
        <v>97</v>
      </c>
      <c r="F149" t="s">
        <v>12</v>
      </c>
      <c r="G149" t="s">
        <v>94</v>
      </c>
    </row>
    <row r="150" spans="1:7" x14ac:dyDescent="0.3">
      <c r="A150" t="s">
        <v>369</v>
      </c>
      <c r="B150" t="s">
        <v>370</v>
      </c>
      <c r="C150">
        <v>3</v>
      </c>
      <c r="D150">
        <v>840000</v>
      </c>
      <c r="E150" t="s">
        <v>108</v>
      </c>
      <c r="F150" t="s">
        <v>13</v>
      </c>
      <c r="G150" t="s">
        <v>94</v>
      </c>
    </row>
    <row r="151" spans="1:7" x14ac:dyDescent="0.3">
      <c r="A151" t="s">
        <v>371</v>
      </c>
      <c r="B151" t="s">
        <v>344</v>
      </c>
      <c r="C151">
        <v>12</v>
      </c>
      <c r="D151">
        <v>4644000</v>
      </c>
      <c r="E151" t="s">
        <v>125</v>
      </c>
      <c r="F151" t="s">
        <v>13</v>
      </c>
      <c r="G151" t="s">
        <v>98</v>
      </c>
    </row>
    <row r="152" spans="1:7" x14ac:dyDescent="0.3">
      <c r="A152" t="s">
        <v>372</v>
      </c>
      <c r="B152" t="s">
        <v>232</v>
      </c>
      <c r="C152">
        <v>1</v>
      </c>
      <c r="D152">
        <v>640000</v>
      </c>
      <c r="E152" t="s">
        <v>108</v>
      </c>
      <c r="F152" t="s">
        <v>13</v>
      </c>
      <c r="G152" t="s">
        <v>94</v>
      </c>
    </row>
    <row r="153" spans="1:7" x14ac:dyDescent="0.3">
      <c r="A153" t="s">
        <v>373</v>
      </c>
      <c r="B153" t="s">
        <v>374</v>
      </c>
      <c r="C153">
        <v>9</v>
      </c>
      <c r="D153">
        <v>3978000</v>
      </c>
      <c r="E153" t="s">
        <v>101</v>
      </c>
      <c r="F153" t="s">
        <v>9</v>
      </c>
      <c r="G153" t="s">
        <v>98</v>
      </c>
    </row>
    <row r="154" spans="1:7" x14ac:dyDescent="0.3">
      <c r="A154" t="s">
        <v>375</v>
      </c>
      <c r="B154" t="s">
        <v>8</v>
      </c>
      <c r="C154">
        <v>5</v>
      </c>
      <c r="D154">
        <v>2155000</v>
      </c>
      <c r="E154" t="s">
        <v>101</v>
      </c>
      <c r="F154" t="s">
        <v>9</v>
      </c>
      <c r="G154" t="s">
        <v>98</v>
      </c>
    </row>
    <row r="155" spans="1:7" x14ac:dyDescent="0.3">
      <c r="A155" t="s">
        <v>376</v>
      </c>
      <c r="B155" t="s">
        <v>105</v>
      </c>
      <c r="C155">
        <v>9</v>
      </c>
      <c r="D155">
        <v>2178000</v>
      </c>
      <c r="E155" t="s">
        <v>93</v>
      </c>
      <c r="F155" t="s">
        <v>10</v>
      </c>
      <c r="G155" t="s">
        <v>98</v>
      </c>
    </row>
    <row r="156" spans="1:7" x14ac:dyDescent="0.3">
      <c r="A156" t="s">
        <v>377</v>
      </c>
      <c r="B156" t="s">
        <v>203</v>
      </c>
      <c r="C156">
        <v>1</v>
      </c>
      <c r="D156">
        <v>366000</v>
      </c>
      <c r="E156" t="s">
        <v>93</v>
      </c>
      <c r="F156" t="s">
        <v>10</v>
      </c>
      <c r="G156" t="s">
        <v>98</v>
      </c>
    </row>
    <row r="157" spans="1:7" x14ac:dyDescent="0.3">
      <c r="A157" t="s">
        <v>378</v>
      </c>
      <c r="B157" t="s">
        <v>364</v>
      </c>
      <c r="C157">
        <v>1</v>
      </c>
      <c r="D157">
        <v>616000</v>
      </c>
      <c r="E157" t="s">
        <v>125</v>
      </c>
      <c r="F157" t="s">
        <v>12</v>
      </c>
      <c r="G157" t="s">
        <v>98</v>
      </c>
    </row>
    <row r="158" spans="1:7" x14ac:dyDescent="0.3">
      <c r="A158" t="s">
        <v>379</v>
      </c>
      <c r="B158" t="s">
        <v>380</v>
      </c>
      <c r="C158">
        <v>1</v>
      </c>
      <c r="D158">
        <v>488000</v>
      </c>
      <c r="E158" t="s">
        <v>93</v>
      </c>
      <c r="F158" t="s">
        <v>11</v>
      </c>
      <c r="G158" t="s">
        <v>98</v>
      </c>
    </row>
    <row r="159" spans="1:7" x14ac:dyDescent="0.3">
      <c r="A159" t="s">
        <v>381</v>
      </c>
      <c r="B159" t="s">
        <v>382</v>
      </c>
      <c r="C159">
        <v>9</v>
      </c>
      <c r="D159">
        <v>3654000</v>
      </c>
      <c r="E159" t="s">
        <v>125</v>
      </c>
      <c r="F159" t="s">
        <v>12</v>
      </c>
      <c r="G159" t="s">
        <v>94</v>
      </c>
    </row>
    <row r="160" spans="1:7" x14ac:dyDescent="0.3">
      <c r="A160" t="s">
        <v>383</v>
      </c>
      <c r="B160" t="s">
        <v>384</v>
      </c>
      <c r="C160">
        <v>6</v>
      </c>
      <c r="D160">
        <v>1674000</v>
      </c>
      <c r="E160" t="s">
        <v>97</v>
      </c>
      <c r="F160" t="s">
        <v>13</v>
      </c>
      <c r="G160" t="s">
        <v>94</v>
      </c>
    </row>
    <row r="161" spans="1:7" x14ac:dyDescent="0.3">
      <c r="A161" t="s">
        <v>385</v>
      </c>
      <c r="B161" t="s">
        <v>254</v>
      </c>
      <c r="C161">
        <v>8</v>
      </c>
      <c r="D161">
        <v>3192000</v>
      </c>
      <c r="E161" t="s">
        <v>101</v>
      </c>
      <c r="F161" t="s">
        <v>10</v>
      </c>
      <c r="G161" t="s">
        <v>98</v>
      </c>
    </row>
    <row r="162" spans="1:7" x14ac:dyDescent="0.3">
      <c r="A162" t="s">
        <v>386</v>
      </c>
      <c r="B162" t="s">
        <v>342</v>
      </c>
      <c r="C162">
        <v>1</v>
      </c>
      <c r="D162">
        <v>429000</v>
      </c>
      <c r="E162" t="s">
        <v>97</v>
      </c>
      <c r="F162" t="s">
        <v>11</v>
      </c>
      <c r="G162" t="s">
        <v>94</v>
      </c>
    </row>
    <row r="163" spans="1:7" x14ac:dyDescent="0.3">
      <c r="A163" t="s">
        <v>387</v>
      </c>
      <c r="B163" t="s">
        <v>197</v>
      </c>
      <c r="C163">
        <v>3</v>
      </c>
      <c r="D163">
        <v>1620000</v>
      </c>
      <c r="E163" t="s">
        <v>108</v>
      </c>
      <c r="F163" t="s">
        <v>13</v>
      </c>
      <c r="G163" t="s">
        <v>94</v>
      </c>
    </row>
    <row r="164" spans="1:7" x14ac:dyDescent="0.3">
      <c r="A164" t="s">
        <v>388</v>
      </c>
      <c r="B164" t="s">
        <v>389</v>
      </c>
      <c r="C164">
        <v>10</v>
      </c>
      <c r="D164">
        <v>5180000</v>
      </c>
      <c r="E164" t="s">
        <v>101</v>
      </c>
      <c r="F164" t="s">
        <v>10</v>
      </c>
      <c r="G164" t="s">
        <v>94</v>
      </c>
    </row>
    <row r="165" spans="1:7" x14ac:dyDescent="0.3">
      <c r="A165" t="s">
        <v>390</v>
      </c>
      <c r="B165" t="s">
        <v>127</v>
      </c>
      <c r="C165">
        <v>10</v>
      </c>
      <c r="D165">
        <v>2680000</v>
      </c>
      <c r="E165" t="s">
        <v>93</v>
      </c>
      <c r="F165" t="s">
        <v>9</v>
      </c>
      <c r="G165" t="s">
        <v>94</v>
      </c>
    </row>
    <row r="166" spans="1:7" x14ac:dyDescent="0.3">
      <c r="A166" t="s">
        <v>391</v>
      </c>
      <c r="B166" t="s">
        <v>392</v>
      </c>
      <c r="C166">
        <v>2</v>
      </c>
      <c r="D166">
        <v>562000</v>
      </c>
      <c r="E166" t="s">
        <v>97</v>
      </c>
      <c r="F166" t="s">
        <v>12</v>
      </c>
      <c r="G166" t="s">
        <v>98</v>
      </c>
    </row>
    <row r="167" spans="1:7" x14ac:dyDescent="0.3">
      <c r="A167" t="s">
        <v>393</v>
      </c>
      <c r="B167" t="s">
        <v>394</v>
      </c>
      <c r="C167">
        <v>3</v>
      </c>
      <c r="D167">
        <v>975000</v>
      </c>
      <c r="E167" t="s">
        <v>101</v>
      </c>
      <c r="F167" t="s">
        <v>12</v>
      </c>
      <c r="G167" t="s">
        <v>98</v>
      </c>
    </row>
    <row r="168" spans="1:7" x14ac:dyDescent="0.3">
      <c r="A168" t="s">
        <v>395</v>
      </c>
      <c r="B168" t="s">
        <v>171</v>
      </c>
      <c r="C168">
        <v>4</v>
      </c>
      <c r="D168">
        <v>3040000</v>
      </c>
      <c r="E168" t="s">
        <v>97</v>
      </c>
      <c r="F168" t="s">
        <v>9</v>
      </c>
      <c r="G168" t="s">
        <v>94</v>
      </c>
    </row>
    <row r="169" spans="1:7" x14ac:dyDescent="0.3">
      <c r="A169" t="s">
        <v>396</v>
      </c>
      <c r="B169" t="s">
        <v>329</v>
      </c>
      <c r="C169">
        <v>1</v>
      </c>
      <c r="D169">
        <v>509000</v>
      </c>
      <c r="E169" t="s">
        <v>93</v>
      </c>
      <c r="F169" t="s">
        <v>13</v>
      </c>
      <c r="G169" t="s">
        <v>98</v>
      </c>
    </row>
    <row r="170" spans="1:7" x14ac:dyDescent="0.3">
      <c r="A170" t="s">
        <v>397</v>
      </c>
      <c r="B170" t="s">
        <v>335</v>
      </c>
      <c r="C170">
        <v>10</v>
      </c>
      <c r="D170">
        <v>4910000</v>
      </c>
      <c r="E170" t="s">
        <v>93</v>
      </c>
      <c r="F170" t="s">
        <v>11</v>
      </c>
      <c r="G170" t="s">
        <v>94</v>
      </c>
    </row>
    <row r="171" spans="1:7" x14ac:dyDescent="0.3">
      <c r="A171" t="s">
        <v>398</v>
      </c>
      <c r="B171" t="s">
        <v>206</v>
      </c>
      <c r="C171">
        <v>3</v>
      </c>
      <c r="D171">
        <v>2034000</v>
      </c>
      <c r="E171" t="s">
        <v>101</v>
      </c>
      <c r="F171" t="s">
        <v>12</v>
      </c>
      <c r="G171" t="s">
        <v>94</v>
      </c>
    </row>
    <row r="172" spans="1:7" x14ac:dyDescent="0.3">
      <c r="A172" t="s">
        <v>399</v>
      </c>
      <c r="B172" t="s">
        <v>400</v>
      </c>
      <c r="C172">
        <v>6</v>
      </c>
      <c r="D172">
        <v>1554000</v>
      </c>
      <c r="E172" t="s">
        <v>97</v>
      </c>
      <c r="F172" t="s">
        <v>11</v>
      </c>
      <c r="G172" t="s">
        <v>94</v>
      </c>
    </row>
    <row r="173" spans="1:7" x14ac:dyDescent="0.3">
      <c r="A173" t="s">
        <v>401</v>
      </c>
      <c r="B173" t="s">
        <v>402</v>
      </c>
      <c r="C173">
        <v>3</v>
      </c>
      <c r="D173">
        <v>1122000</v>
      </c>
      <c r="E173" t="s">
        <v>93</v>
      </c>
      <c r="F173" t="s">
        <v>9</v>
      </c>
      <c r="G173" t="s">
        <v>98</v>
      </c>
    </row>
    <row r="174" spans="1:7" x14ac:dyDescent="0.3">
      <c r="A174" t="s">
        <v>403</v>
      </c>
      <c r="B174" t="s">
        <v>137</v>
      </c>
      <c r="C174">
        <v>6</v>
      </c>
      <c r="D174">
        <v>2286000</v>
      </c>
      <c r="E174" t="s">
        <v>108</v>
      </c>
      <c r="F174" t="s">
        <v>11</v>
      </c>
      <c r="G174" t="s">
        <v>94</v>
      </c>
    </row>
    <row r="175" spans="1:7" x14ac:dyDescent="0.3">
      <c r="A175" t="s">
        <v>404</v>
      </c>
      <c r="B175" t="s">
        <v>405</v>
      </c>
      <c r="C175">
        <v>3</v>
      </c>
      <c r="D175">
        <v>1659000</v>
      </c>
      <c r="E175" t="s">
        <v>97</v>
      </c>
      <c r="F175" t="s">
        <v>9</v>
      </c>
      <c r="G175" t="s">
        <v>94</v>
      </c>
    </row>
    <row r="176" spans="1:7" x14ac:dyDescent="0.3">
      <c r="A176" t="s">
        <v>406</v>
      </c>
      <c r="B176" t="s">
        <v>114</v>
      </c>
      <c r="C176">
        <v>7</v>
      </c>
      <c r="D176">
        <v>2681000</v>
      </c>
      <c r="E176" t="s">
        <v>108</v>
      </c>
      <c r="F176" t="s">
        <v>10</v>
      </c>
      <c r="G176" t="s">
        <v>98</v>
      </c>
    </row>
    <row r="177" spans="1:7" x14ac:dyDescent="0.3">
      <c r="A177" t="s">
        <v>407</v>
      </c>
      <c r="B177" t="s">
        <v>256</v>
      </c>
      <c r="C177">
        <v>11</v>
      </c>
      <c r="D177">
        <v>4697000</v>
      </c>
      <c r="E177" t="s">
        <v>125</v>
      </c>
      <c r="F177" t="s">
        <v>12</v>
      </c>
      <c r="G177" t="s">
        <v>98</v>
      </c>
    </row>
    <row r="178" spans="1:7" x14ac:dyDescent="0.3">
      <c r="A178" t="s">
        <v>408</v>
      </c>
      <c r="B178" t="s">
        <v>409</v>
      </c>
      <c r="C178">
        <v>2</v>
      </c>
      <c r="D178">
        <v>584000</v>
      </c>
      <c r="E178" t="s">
        <v>93</v>
      </c>
      <c r="F178" t="s">
        <v>11</v>
      </c>
      <c r="G178" t="s">
        <v>94</v>
      </c>
    </row>
    <row r="179" spans="1:7" x14ac:dyDescent="0.3">
      <c r="A179" t="s">
        <v>410</v>
      </c>
      <c r="B179" t="s">
        <v>331</v>
      </c>
      <c r="C179">
        <v>1</v>
      </c>
      <c r="D179">
        <v>268000</v>
      </c>
      <c r="E179" t="s">
        <v>93</v>
      </c>
      <c r="F179" t="s">
        <v>13</v>
      </c>
      <c r="G179" t="s">
        <v>94</v>
      </c>
    </row>
    <row r="180" spans="1:7" x14ac:dyDescent="0.3">
      <c r="A180" t="s">
        <v>411</v>
      </c>
      <c r="B180" t="s">
        <v>325</v>
      </c>
      <c r="C180">
        <v>7</v>
      </c>
      <c r="D180">
        <v>1946000</v>
      </c>
      <c r="E180" t="s">
        <v>97</v>
      </c>
      <c r="F180" t="s">
        <v>10</v>
      </c>
      <c r="G180" t="s">
        <v>98</v>
      </c>
    </row>
    <row r="181" spans="1:7" x14ac:dyDescent="0.3">
      <c r="A181" t="s">
        <v>412</v>
      </c>
      <c r="B181" t="s">
        <v>413</v>
      </c>
      <c r="C181">
        <v>4</v>
      </c>
      <c r="D181">
        <v>1300000</v>
      </c>
      <c r="E181" t="s">
        <v>125</v>
      </c>
      <c r="F181" t="s">
        <v>10</v>
      </c>
      <c r="G181" t="s">
        <v>98</v>
      </c>
    </row>
    <row r="182" spans="1:7" x14ac:dyDescent="0.3">
      <c r="A182" t="s">
        <v>414</v>
      </c>
      <c r="B182" t="s">
        <v>175</v>
      </c>
      <c r="C182">
        <v>3</v>
      </c>
      <c r="D182">
        <v>1395000</v>
      </c>
      <c r="E182" t="s">
        <v>125</v>
      </c>
      <c r="F182" t="s">
        <v>10</v>
      </c>
      <c r="G182" t="s">
        <v>94</v>
      </c>
    </row>
    <row r="183" spans="1:7" x14ac:dyDescent="0.3">
      <c r="A183" t="s">
        <v>415</v>
      </c>
      <c r="B183" t="s">
        <v>416</v>
      </c>
      <c r="C183">
        <v>1</v>
      </c>
      <c r="D183">
        <v>295000</v>
      </c>
      <c r="E183" t="s">
        <v>108</v>
      </c>
      <c r="F183" t="s">
        <v>12</v>
      </c>
      <c r="G183" t="s">
        <v>98</v>
      </c>
    </row>
    <row r="184" spans="1:7" x14ac:dyDescent="0.3">
      <c r="A184" t="s">
        <v>417</v>
      </c>
      <c r="B184" t="s">
        <v>281</v>
      </c>
      <c r="C184">
        <v>2</v>
      </c>
      <c r="D184">
        <v>786000</v>
      </c>
      <c r="E184" t="s">
        <v>93</v>
      </c>
      <c r="F184" t="s">
        <v>9</v>
      </c>
      <c r="G184" t="s">
        <v>94</v>
      </c>
    </row>
    <row r="185" spans="1:7" x14ac:dyDescent="0.3">
      <c r="A185" t="s">
        <v>418</v>
      </c>
      <c r="B185" t="s">
        <v>124</v>
      </c>
      <c r="C185">
        <v>11</v>
      </c>
      <c r="D185">
        <v>5203000</v>
      </c>
      <c r="E185" t="s">
        <v>108</v>
      </c>
      <c r="F185" t="s">
        <v>10</v>
      </c>
      <c r="G185" t="s">
        <v>94</v>
      </c>
    </row>
    <row r="186" spans="1:7" x14ac:dyDescent="0.3">
      <c r="A186" t="s">
        <v>419</v>
      </c>
      <c r="B186" t="s">
        <v>420</v>
      </c>
      <c r="C186">
        <v>2</v>
      </c>
      <c r="D186">
        <v>686000</v>
      </c>
      <c r="E186" t="s">
        <v>93</v>
      </c>
      <c r="F186" t="s">
        <v>10</v>
      </c>
      <c r="G186" t="s">
        <v>98</v>
      </c>
    </row>
    <row r="187" spans="1:7" x14ac:dyDescent="0.3">
      <c r="A187" t="s">
        <v>421</v>
      </c>
      <c r="B187" t="s">
        <v>145</v>
      </c>
      <c r="C187">
        <v>10</v>
      </c>
      <c r="D187">
        <v>2620000</v>
      </c>
      <c r="E187" t="s">
        <v>97</v>
      </c>
      <c r="F187" t="s">
        <v>11</v>
      </c>
      <c r="G187" t="s">
        <v>94</v>
      </c>
    </row>
    <row r="188" spans="1:7" x14ac:dyDescent="0.3">
      <c r="A188" t="s">
        <v>422</v>
      </c>
      <c r="B188" t="s">
        <v>423</v>
      </c>
      <c r="C188">
        <v>3</v>
      </c>
      <c r="D188">
        <v>1110000</v>
      </c>
      <c r="E188" t="s">
        <v>97</v>
      </c>
      <c r="F188" t="s">
        <v>11</v>
      </c>
      <c r="G188" t="s">
        <v>94</v>
      </c>
    </row>
    <row r="189" spans="1:7" x14ac:dyDescent="0.3">
      <c r="A189" t="s">
        <v>424</v>
      </c>
      <c r="B189" t="s">
        <v>425</v>
      </c>
      <c r="C189">
        <v>1</v>
      </c>
      <c r="D189">
        <v>593000</v>
      </c>
      <c r="E189" t="s">
        <v>108</v>
      </c>
      <c r="F189" t="s">
        <v>10</v>
      </c>
      <c r="G189" t="s">
        <v>98</v>
      </c>
    </row>
    <row r="190" spans="1:7" x14ac:dyDescent="0.3">
      <c r="A190" t="s">
        <v>426</v>
      </c>
      <c r="B190" t="s">
        <v>427</v>
      </c>
      <c r="C190">
        <v>5</v>
      </c>
      <c r="D190">
        <v>1790000</v>
      </c>
      <c r="E190" t="s">
        <v>125</v>
      </c>
      <c r="F190" t="s">
        <v>9</v>
      </c>
      <c r="G190" t="s">
        <v>98</v>
      </c>
    </row>
    <row r="191" spans="1:7" x14ac:dyDescent="0.3">
      <c r="A191" t="s">
        <v>428</v>
      </c>
      <c r="B191" t="s">
        <v>429</v>
      </c>
      <c r="C191">
        <v>1</v>
      </c>
      <c r="D191">
        <v>490000</v>
      </c>
      <c r="E191" t="s">
        <v>97</v>
      </c>
      <c r="F191" t="s">
        <v>9</v>
      </c>
      <c r="G191" t="s">
        <v>94</v>
      </c>
    </row>
    <row r="192" spans="1:7" x14ac:dyDescent="0.3">
      <c r="A192" t="s">
        <v>430</v>
      </c>
      <c r="B192" t="s">
        <v>431</v>
      </c>
      <c r="C192">
        <v>10</v>
      </c>
      <c r="D192">
        <v>5750000</v>
      </c>
      <c r="E192" t="s">
        <v>108</v>
      </c>
      <c r="F192" t="s">
        <v>9</v>
      </c>
      <c r="G192" t="s">
        <v>94</v>
      </c>
    </row>
    <row r="193" spans="1:7" x14ac:dyDescent="0.3">
      <c r="A193" t="s">
        <v>432</v>
      </c>
      <c r="B193" t="s">
        <v>433</v>
      </c>
      <c r="C193">
        <v>12</v>
      </c>
      <c r="D193">
        <v>3624000</v>
      </c>
      <c r="E193" t="s">
        <v>101</v>
      </c>
      <c r="F193" t="s">
        <v>12</v>
      </c>
      <c r="G193" t="s">
        <v>98</v>
      </c>
    </row>
    <row r="194" spans="1:7" x14ac:dyDescent="0.3">
      <c r="A194" t="s">
        <v>434</v>
      </c>
      <c r="B194" t="s">
        <v>175</v>
      </c>
      <c r="C194">
        <v>7</v>
      </c>
      <c r="D194">
        <v>2499000</v>
      </c>
      <c r="E194" t="s">
        <v>93</v>
      </c>
      <c r="F194" t="s">
        <v>11</v>
      </c>
      <c r="G194" t="s">
        <v>94</v>
      </c>
    </row>
    <row r="195" spans="1:7" x14ac:dyDescent="0.3">
      <c r="A195" t="s">
        <v>435</v>
      </c>
      <c r="B195" t="s">
        <v>425</v>
      </c>
      <c r="C195">
        <v>6</v>
      </c>
      <c r="D195">
        <v>1452000</v>
      </c>
      <c r="E195" t="s">
        <v>101</v>
      </c>
      <c r="F195" t="s">
        <v>9</v>
      </c>
      <c r="G195" t="s">
        <v>94</v>
      </c>
    </row>
    <row r="196" spans="1:7" x14ac:dyDescent="0.3">
      <c r="A196" t="s">
        <v>436</v>
      </c>
      <c r="B196" t="s">
        <v>437</v>
      </c>
      <c r="C196">
        <v>9</v>
      </c>
      <c r="D196">
        <v>4311000</v>
      </c>
      <c r="E196" t="s">
        <v>125</v>
      </c>
      <c r="F196" t="s">
        <v>12</v>
      </c>
      <c r="G196" t="s">
        <v>98</v>
      </c>
    </row>
    <row r="197" spans="1:7" x14ac:dyDescent="0.3">
      <c r="A197" t="s">
        <v>438</v>
      </c>
      <c r="B197" t="s">
        <v>439</v>
      </c>
      <c r="C197">
        <v>6</v>
      </c>
      <c r="D197">
        <v>4338000</v>
      </c>
      <c r="E197" t="s">
        <v>93</v>
      </c>
      <c r="F197" t="s">
        <v>11</v>
      </c>
      <c r="G197" t="s">
        <v>94</v>
      </c>
    </row>
    <row r="198" spans="1:7" x14ac:dyDescent="0.3">
      <c r="A198" t="s">
        <v>440</v>
      </c>
      <c r="B198" t="s">
        <v>441</v>
      </c>
      <c r="C198">
        <v>2</v>
      </c>
      <c r="D198">
        <v>1500000</v>
      </c>
      <c r="E198" t="s">
        <v>101</v>
      </c>
      <c r="F198" t="s">
        <v>10</v>
      </c>
      <c r="G198" t="s">
        <v>98</v>
      </c>
    </row>
    <row r="199" spans="1:7" x14ac:dyDescent="0.3">
      <c r="A199" t="s">
        <v>442</v>
      </c>
      <c r="B199" t="s">
        <v>374</v>
      </c>
      <c r="C199">
        <v>7</v>
      </c>
      <c r="D199">
        <v>4088000</v>
      </c>
      <c r="E199" t="s">
        <v>125</v>
      </c>
      <c r="F199" t="s">
        <v>11</v>
      </c>
      <c r="G199" t="s">
        <v>94</v>
      </c>
    </row>
    <row r="200" spans="1:7" x14ac:dyDescent="0.3">
      <c r="A200" t="s">
        <v>443</v>
      </c>
      <c r="B200" t="s">
        <v>444</v>
      </c>
      <c r="C200">
        <v>1</v>
      </c>
      <c r="D200">
        <v>253000</v>
      </c>
      <c r="E200" t="s">
        <v>108</v>
      </c>
      <c r="F200" t="s">
        <v>13</v>
      </c>
      <c r="G200" t="s">
        <v>94</v>
      </c>
    </row>
    <row r="201" spans="1:7" x14ac:dyDescent="0.3">
      <c r="A201" t="s">
        <v>445</v>
      </c>
      <c r="B201" t="s">
        <v>446</v>
      </c>
      <c r="C201">
        <v>2</v>
      </c>
      <c r="D201">
        <v>1404000</v>
      </c>
      <c r="E201" t="s">
        <v>125</v>
      </c>
      <c r="F201" t="s">
        <v>11</v>
      </c>
      <c r="G201" t="s">
        <v>98</v>
      </c>
    </row>
    <row r="202" spans="1:7" x14ac:dyDescent="0.3">
      <c r="A202" t="s">
        <v>447</v>
      </c>
      <c r="B202" t="s">
        <v>191</v>
      </c>
      <c r="C202">
        <v>1</v>
      </c>
      <c r="D202">
        <v>355000</v>
      </c>
      <c r="E202" t="s">
        <v>93</v>
      </c>
      <c r="F202" t="s">
        <v>10</v>
      </c>
      <c r="G202" t="s">
        <v>98</v>
      </c>
    </row>
    <row r="203" spans="1:7" x14ac:dyDescent="0.3">
      <c r="A203" t="s">
        <v>448</v>
      </c>
      <c r="B203" t="s">
        <v>215</v>
      </c>
      <c r="C203">
        <v>2</v>
      </c>
      <c r="D203">
        <v>1028000</v>
      </c>
      <c r="E203" t="s">
        <v>93</v>
      </c>
      <c r="F203" t="s">
        <v>11</v>
      </c>
      <c r="G203" t="s">
        <v>98</v>
      </c>
    </row>
    <row r="204" spans="1:7" x14ac:dyDescent="0.3">
      <c r="A204" t="s">
        <v>449</v>
      </c>
      <c r="B204" t="s">
        <v>450</v>
      </c>
      <c r="C204">
        <v>3</v>
      </c>
      <c r="D204">
        <v>969000</v>
      </c>
      <c r="E204" t="s">
        <v>108</v>
      </c>
      <c r="F204" t="s">
        <v>9</v>
      </c>
      <c r="G204" t="s">
        <v>98</v>
      </c>
    </row>
    <row r="205" spans="1:7" x14ac:dyDescent="0.3">
      <c r="A205" t="s">
        <v>451</v>
      </c>
      <c r="B205" t="s">
        <v>149</v>
      </c>
      <c r="C205">
        <v>8</v>
      </c>
      <c r="D205">
        <v>3528000</v>
      </c>
      <c r="E205" t="s">
        <v>97</v>
      </c>
      <c r="F205" t="s">
        <v>10</v>
      </c>
      <c r="G205" t="s">
        <v>94</v>
      </c>
    </row>
    <row r="206" spans="1:7" x14ac:dyDescent="0.3">
      <c r="A206" t="s">
        <v>452</v>
      </c>
      <c r="B206" t="s">
        <v>358</v>
      </c>
      <c r="C206">
        <v>1</v>
      </c>
      <c r="D206">
        <v>467000</v>
      </c>
      <c r="E206" t="s">
        <v>101</v>
      </c>
      <c r="F206" t="s">
        <v>10</v>
      </c>
      <c r="G206" t="s">
        <v>94</v>
      </c>
    </row>
    <row r="207" spans="1:7" x14ac:dyDescent="0.3">
      <c r="A207" t="s">
        <v>453</v>
      </c>
      <c r="B207" t="s">
        <v>454</v>
      </c>
      <c r="C207">
        <v>5</v>
      </c>
      <c r="D207">
        <v>1635000</v>
      </c>
      <c r="E207" t="s">
        <v>108</v>
      </c>
      <c r="F207" t="s">
        <v>13</v>
      </c>
      <c r="G207" t="s">
        <v>98</v>
      </c>
    </row>
    <row r="208" spans="1:7" x14ac:dyDescent="0.3">
      <c r="A208" t="s">
        <v>455</v>
      </c>
      <c r="B208" t="s">
        <v>234</v>
      </c>
      <c r="C208">
        <v>2</v>
      </c>
      <c r="D208">
        <v>600000</v>
      </c>
      <c r="E208" t="s">
        <v>93</v>
      </c>
      <c r="F208" t="s">
        <v>11</v>
      </c>
      <c r="G208" t="s">
        <v>98</v>
      </c>
    </row>
    <row r="209" spans="1:7" x14ac:dyDescent="0.3">
      <c r="A209" t="s">
        <v>456</v>
      </c>
      <c r="B209" t="s">
        <v>457</v>
      </c>
      <c r="C209">
        <v>7</v>
      </c>
      <c r="D209">
        <v>3633000</v>
      </c>
      <c r="E209" t="s">
        <v>125</v>
      </c>
      <c r="F209" t="s">
        <v>11</v>
      </c>
      <c r="G209" t="s">
        <v>94</v>
      </c>
    </row>
    <row r="210" spans="1:7" x14ac:dyDescent="0.3">
      <c r="A210" t="s">
        <v>458</v>
      </c>
      <c r="B210" t="s">
        <v>370</v>
      </c>
      <c r="C210">
        <v>10</v>
      </c>
      <c r="D210">
        <v>2480000</v>
      </c>
      <c r="E210" t="s">
        <v>93</v>
      </c>
      <c r="F210" t="s">
        <v>9</v>
      </c>
      <c r="G210" t="s">
        <v>94</v>
      </c>
    </row>
    <row r="211" spans="1:7" x14ac:dyDescent="0.3">
      <c r="A211" t="s">
        <v>459</v>
      </c>
      <c r="B211" t="s">
        <v>171</v>
      </c>
      <c r="C211">
        <v>4</v>
      </c>
      <c r="D211">
        <v>1624000</v>
      </c>
      <c r="E211" t="s">
        <v>125</v>
      </c>
      <c r="F211" t="s">
        <v>9</v>
      </c>
      <c r="G211" t="s">
        <v>94</v>
      </c>
    </row>
    <row r="212" spans="1:7" x14ac:dyDescent="0.3">
      <c r="A212" t="s">
        <v>460</v>
      </c>
      <c r="B212" t="s">
        <v>112</v>
      </c>
      <c r="C212">
        <v>9</v>
      </c>
      <c r="D212">
        <v>5364000</v>
      </c>
      <c r="E212" t="s">
        <v>97</v>
      </c>
      <c r="F212" t="s">
        <v>10</v>
      </c>
      <c r="G212" t="s">
        <v>98</v>
      </c>
    </row>
    <row r="213" spans="1:7" x14ac:dyDescent="0.3">
      <c r="A213" t="s">
        <v>461</v>
      </c>
      <c r="B213" t="s">
        <v>313</v>
      </c>
      <c r="C213">
        <v>7</v>
      </c>
      <c r="D213">
        <v>3276000</v>
      </c>
      <c r="E213" t="s">
        <v>97</v>
      </c>
      <c r="F213" t="s">
        <v>10</v>
      </c>
      <c r="G213" t="s">
        <v>94</v>
      </c>
    </row>
    <row r="214" spans="1:7" x14ac:dyDescent="0.3">
      <c r="A214" t="s">
        <v>462</v>
      </c>
      <c r="B214" t="s">
        <v>137</v>
      </c>
      <c r="C214">
        <v>2</v>
      </c>
      <c r="D214">
        <v>968000</v>
      </c>
      <c r="E214" t="s">
        <v>97</v>
      </c>
      <c r="F214" t="s">
        <v>11</v>
      </c>
      <c r="G214" t="s">
        <v>94</v>
      </c>
    </row>
    <row r="215" spans="1:7" x14ac:dyDescent="0.3">
      <c r="A215" t="s">
        <v>463</v>
      </c>
      <c r="B215" t="s">
        <v>464</v>
      </c>
      <c r="C215">
        <v>11</v>
      </c>
      <c r="D215">
        <v>2662000</v>
      </c>
      <c r="E215" t="s">
        <v>125</v>
      </c>
      <c r="F215" t="s">
        <v>10</v>
      </c>
      <c r="G215" t="s">
        <v>98</v>
      </c>
    </row>
    <row r="216" spans="1:7" x14ac:dyDescent="0.3">
      <c r="A216" t="s">
        <v>465</v>
      </c>
      <c r="B216" t="s">
        <v>143</v>
      </c>
      <c r="C216">
        <v>6</v>
      </c>
      <c r="D216">
        <v>3414000</v>
      </c>
      <c r="E216" t="s">
        <v>97</v>
      </c>
      <c r="F216" t="s">
        <v>12</v>
      </c>
      <c r="G216" t="s">
        <v>98</v>
      </c>
    </row>
    <row r="217" spans="1:7" x14ac:dyDescent="0.3">
      <c r="A217" t="s">
        <v>466</v>
      </c>
      <c r="B217" t="s">
        <v>467</v>
      </c>
      <c r="C217">
        <v>1</v>
      </c>
      <c r="D217">
        <v>483000</v>
      </c>
      <c r="E217" t="s">
        <v>101</v>
      </c>
      <c r="F217" t="s">
        <v>9</v>
      </c>
      <c r="G217" t="s">
        <v>98</v>
      </c>
    </row>
    <row r="218" spans="1:7" x14ac:dyDescent="0.3">
      <c r="A218" t="s">
        <v>468</v>
      </c>
      <c r="B218" t="s">
        <v>291</v>
      </c>
      <c r="C218">
        <v>1</v>
      </c>
      <c r="D218">
        <v>288000</v>
      </c>
      <c r="E218" t="s">
        <v>108</v>
      </c>
      <c r="F218" t="s">
        <v>10</v>
      </c>
      <c r="G218" t="s">
        <v>94</v>
      </c>
    </row>
    <row r="219" spans="1:7" x14ac:dyDescent="0.3">
      <c r="A219" t="s">
        <v>469</v>
      </c>
      <c r="B219" t="s">
        <v>244</v>
      </c>
      <c r="C219">
        <v>3</v>
      </c>
      <c r="D219">
        <v>822000</v>
      </c>
      <c r="E219" t="s">
        <v>108</v>
      </c>
      <c r="F219" t="s">
        <v>13</v>
      </c>
      <c r="G219" t="s">
        <v>98</v>
      </c>
    </row>
    <row r="220" spans="1:7" x14ac:dyDescent="0.3">
      <c r="A220" t="s">
        <v>470</v>
      </c>
      <c r="B220" t="s">
        <v>471</v>
      </c>
      <c r="C220">
        <v>12</v>
      </c>
      <c r="D220">
        <v>6252000</v>
      </c>
      <c r="E220" t="s">
        <v>101</v>
      </c>
      <c r="F220" t="s">
        <v>13</v>
      </c>
      <c r="G220" t="s">
        <v>94</v>
      </c>
    </row>
    <row r="221" spans="1:7" x14ac:dyDescent="0.3">
      <c r="A221" t="s">
        <v>472</v>
      </c>
      <c r="B221" t="s">
        <v>303</v>
      </c>
      <c r="C221">
        <v>7</v>
      </c>
      <c r="D221">
        <v>3549000</v>
      </c>
      <c r="E221" t="s">
        <v>125</v>
      </c>
      <c r="F221" t="s">
        <v>12</v>
      </c>
      <c r="G221" t="s">
        <v>94</v>
      </c>
    </row>
    <row r="222" spans="1:7" x14ac:dyDescent="0.3">
      <c r="A222" t="s">
        <v>473</v>
      </c>
      <c r="B222" t="s">
        <v>311</v>
      </c>
      <c r="C222">
        <v>1</v>
      </c>
      <c r="D222">
        <v>552000</v>
      </c>
      <c r="E222" t="s">
        <v>125</v>
      </c>
      <c r="F222" t="s">
        <v>13</v>
      </c>
      <c r="G222" t="s">
        <v>94</v>
      </c>
    </row>
    <row r="223" spans="1:7" x14ac:dyDescent="0.3">
      <c r="A223" t="s">
        <v>474</v>
      </c>
      <c r="B223" t="s">
        <v>475</v>
      </c>
      <c r="C223">
        <v>6</v>
      </c>
      <c r="D223">
        <v>1530000</v>
      </c>
      <c r="E223" t="s">
        <v>93</v>
      </c>
      <c r="F223" t="s">
        <v>11</v>
      </c>
      <c r="G223" t="s">
        <v>94</v>
      </c>
    </row>
    <row r="224" spans="1:7" x14ac:dyDescent="0.3">
      <c r="A224" t="s">
        <v>476</v>
      </c>
      <c r="B224" t="s">
        <v>273</v>
      </c>
      <c r="C224">
        <v>1</v>
      </c>
      <c r="D224">
        <v>617000</v>
      </c>
      <c r="E224" t="s">
        <v>108</v>
      </c>
      <c r="F224" t="s">
        <v>9</v>
      </c>
      <c r="G224" t="s">
        <v>94</v>
      </c>
    </row>
    <row r="225" spans="1:7" x14ac:dyDescent="0.3">
      <c r="A225" t="s">
        <v>477</v>
      </c>
      <c r="B225" t="s">
        <v>478</v>
      </c>
      <c r="C225">
        <v>2</v>
      </c>
      <c r="D225">
        <v>1334000</v>
      </c>
      <c r="E225" t="s">
        <v>108</v>
      </c>
      <c r="F225" t="s">
        <v>11</v>
      </c>
      <c r="G225" t="s">
        <v>98</v>
      </c>
    </row>
    <row r="226" spans="1:7" x14ac:dyDescent="0.3">
      <c r="A226" t="s">
        <v>479</v>
      </c>
      <c r="B226" t="s">
        <v>423</v>
      </c>
      <c r="C226">
        <v>2</v>
      </c>
      <c r="D226">
        <v>1084000</v>
      </c>
      <c r="E226" t="s">
        <v>97</v>
      </c>
      <c r="F226" t="s">
        <v>9</v>
      </c>
      <c r="G226" t="s">
        <v>98</v>
      </c>
    </row>
    <row r="227" spans="1:7" x14ac:dyDescent="0.3">
      <c r="A227" t="s">
        <v>480</v>
      </c>
      <c r="B227" t="s">
        <v>354</v>
      </c>
      <c r="C227">
        <v>5</v>
      </c>
      <c r="D227">
        <v>3085000</v>
      </c>
      <c r="E227" t="s">
        <v>97</v>
      </c>
      <c r="F227" t="s">
        <v>13</v>
      </c>
      <c r="G227" t="s">
        <v>94</v>
      </c>
    </row>
    <row r="228" spans="1:7" x14ac:dyDescent="0.3">
      <c r="A228" t="s">
        <v>481</v>
      </c>
      <c r="B228" t="s">
        <v>482</v>
      </c>
      <c r="C228">
        <v>6</v>
      </c>
      <c r="D228">
        <v>4038000</v>
      </c>
      <c r="E228" t="s">
        <v>93</v>
      </c>
      <c r="F228" t="s">
        <v>10</v>
      </c>
      <c r="G228" t="s">
        <v>94</v>
      </c>
    </row>
    <row r="229" spans="1:7" x14ac:dyDescent="0.3">
      <c r="A229" t="s">
        <v>483</v>
      </c>
      <c r="B229" t="s">
        <v>484</v>
      </c>
      <c r="C229">
        <v>9</v>
      </c>
      <c r="D229">
        <v>5715000</v>
      </c>
      <c r="E229" t="s">
        <v>93</v>
      </c>
      <c r="F229" t="s">
        <v>9</v>
      </c>
      <c r="G229" t="s">
        <v>98</v>
      </c>
    </row>
    <row r="230" spans="1:7" x14ac:dyDescent="0.3">
      <c r="A230" t="s">
        <v>485</v>
      </c>
      <c r="B230" t="s">
        <v>382</v>
      </c>
      <c r="C230">
        <v>1</v>
      </c>
      <c r="D230">
        <v>253000</v>
      </c>
      <c r="E230" t="s">
        <v>108</v>
      </c>
      <c r="F230" t="s">
        <v>9</v>
      </c>
      <c r="G230" t="s">
        <v>98</v>
      </c>
    </row>
    <row r="231" spans="1:7" x14ac:dyDescent="0.3">
      <c r="A231" t="s">
        <v>486</v>
      </c>
      <c r="B231" t="s">
        <v>173</v>
      </c>
      <c r="C231">
        <v>2</v>
      </c>
      <c r="D231">
        <v>1042000</v>
      </c>
      <c r="E231" t="s">
        <v>108</v>
      </c>
      <c r="F231" t="s">
        <v>11</v>
      </c>
      <c r="G231" t="s">
        <v>98</v>
      </c>
    </row>
    <row r="232" spans="1:7" x14ac:dyDescent="0.3">
      <c r="A232" t="s">
        <v>487</v>
      </c>
      <c r="B232" t="s">
        <v>283</v>
      </c>
      <c r="C232">
        <v>8</v>
      </c>
      <c r="D232">
        <v>4808000</v>
      </c>
      <c r="E232" t="s">
        <v>125</v>
      </c>
      <c r="F232" t="s">
        <v>13</v>
      </c>
      <c r="G232" t="s">
        <v>98</v>
      </c>
    </row>
    <row r="233" spans="1:7" x14ac:dyDescent="0.3">
      <c r="A233" t="s">
        <v>488</v>
      </c>
      <c r="B233" t="s">
        <v>210</v>
      </c>
      <c r="C233">
        <v>2</v>
      </c>
      <c r="D233">
        <v>498000</v>
      </c>
      <c r="E233" t="s">
        <v>125</v>
      </c>
      <c r="F233" t="s">
        <v>9</v>
      </c>
      <c r="G233" t="s">
        <v>94</v>
      </c>
    </row>
    <row r="234" spans="1:7" x14ac:dyDescent="0.3">
      <c r="A234" t="s">
        <v>489</v>
      </c>
      <c r="B234" t="s">
        <v>490</v>
      </c>
      <c r="C234">
        <v>5</v>
      </c>
      <c r="D234">
        <v>1575000</v>
      </c>
      <c r="E234" t="s">
        <v>108</v>
      </c>
      <c r="F234" t="s">
        <v>9</v>
      </c>
      <c r="G234" t="s">
        <v>98</v>
      </c>
    </row>
    <row r="235" spans="1:7" x14ac:dyDescent="0.3">
      <c r="A235" t="s">
        <v>491</v>
      </c>
      <c r="B235" t="s">
        <v>165</v>
      </c>
      <c r="C235">
        <v>3</v>
      </c>
      <c r="D235">
        <v>1056000</v>
      </c>
      <c r="E235" t="s">
        <v>93</v>
      </c>
      <c r="F235" t="s">
        <v>13</v>
      </c>
      <c r="G235" t="s">
        <v>98</v>
      </c>
    </row>
    <row r="236" spans="1:7" x14ac:dyDescent="0.3">
      <c r="A236" t="s">
        <v>492</v>
      </c>
      <c r="B236" t="s">
        <v>493</v>
      </c>
      <c r="C236">
        <v>1</v>
      </c>
      <c r="D236">
        <v>458000</v>
      </c>
      <c r="E236" t="s">
        <v>108</v>
      </c>
      <c r="F236" t="s">
        <v>13</v>
      </c>
      <c r="G236" t="s">
        <v>98</v>
      </c>
    </row>
    <row r="237" spans="1:7" x14ac:dyDescent="0.3">
      <c r="A237" t="s">
        <v>494</v>
      </c>
      <c r="B237" t="s">
        <v>139</v>
      </c>
      <c r="C237">
        <v>6</v>
      </c>
      <c r="D237">
        <v>1782000</v>
      </c>
      <c r="E237" t="s">
        <v>108</v>
      </c>
      <c r="F237" t="s">
        <v>10</v>
      </c>
      <c r="G237" t="s">
        <v>98</v>
      </c>
    </row>
    <row r="238" spans="1:7" x14ac:dyDescent="0.3">
      <c r="A238" t="s">
        <v>495</v>
      </c>
      <c r="B238" t="s">
        <v>496</v>
      </c>
      <c r="C238">
        <v>5</v>
      </c>
      <c r="D238">
        <v>1715000</v>
      </c>
      <c r="E238" t="s">
        <v>125</v>
      </c>
      <c r="F238" t="s">
        <v>12</v>
      </c>
      <c r="G238" t="s">
        <v>94</v>
      </c>
    </row>
    <row r="239" spans="1:7" x14ac:dyDescent="0.3">
      <c r="A239" t="s">
        <v>497</v>
      </c>
      <c r="B239" t="s">
        <v>498</v>
      </c>
      <c r="C239">
        <v>1</v>
      </c>
      <c r="D239">
        <v>348000</v>
      </c>
      <c r="E239" t="s">
        <v>125</v>
      </c>
      <c r="F239" t="s">
        <v>9</v>
      </c>
      <c r="G239" t="s">
        <v>94</v>
      </c>
    </row>
    <row r="240" spans="1:7" x14ac:dyDescent="0.3">
      <c r="A240" t="s">
        <v>499</v>
      </c>
      <c r="B240" t="s">
        <v>392</v>
      </c>
      <c r="C240">
        <v>2</v>
      </c>
      <c r="D240">
        <v>500000</v>
      </c>
      <c r="E240" t="s">
        <v>101</v>
      </c>
      <c r="F240" t="s">
        <v>12</v>
      </c>
      <c r="G240" t="s">
        <v>94</v>
      </c>
    </row>
    <row r="241" spans="1:7" x14ac:dyDescent="0.3">
      <c r="A241" t="s">
        <v>500</v>
      </c>
      <c r="B241" t="s">
        <v>501</v>
      </c>
      <c r="C241">
        <v>8</v>
      </c>
      <c r="D241">
        <v>2096000</v>
      </c>
      <c r="E241" t="s">
        <v>97</v>
      </c>
      <c r="F241" t="s">
        <v>9</v>
      </c>
      <c r="G241" t="s">
        <v>94</v>
      </c>
    </row>
    <row r="242" spans="1:7" x14ac:dyDescent="0.3">
      <c r="A242" t="s">
        <v>502</v>
      </c>
      <c r="B242" t="s">
        <v>503</v>
      </c>
      <c r="C242">
        <v>9</v>
      </c>
      <c r="D242">
        <v>4158000</v>
      </c>
      <c r="E242" t="s">
        <v>93</v>
      </c>
      <c r="F242" t="s">
        <v>10</v>
      </c>
      <c r="G242" t="s">
        <v>94</v>
      </c>
    </row>
    <row r="243" spans="1:7" x14ac:dyDescent="0.3">
      <c r="A243" t="s">
        <v>504</v>
      </c>
      <c r="B243" t="s">
        <v>364</v>
      </c>
      <c r="C243">
        <v>6</v>
      </c>
      <c r="D243">
        <v>3276000</v>
      </c>
      <c r="E243" t="s">
        <v>101</v>
      </c>
      <c r="F243" t="s">
        <v>12</v>
      </c>
      <c r="G243" t="s">
        <v>98</v>
      </c>
    </row>
    <row r="244" spans="1:7" x14ac:dyDescent="0.3">
      <c r="A244" t="s">
        <v>505</v>
      </c>
      <c r="B244" t="s">
        <v>431</v>
      </c>
      <c r="C244">
        <v>1</v>
      </c>
      <c r="D244">
        <v>422000</v>
      </c>
      <c r="E244" t="s">
        <v>108</v>
      </c>
      <c r="F244" t="s">
        <v>10</v>
      </c>
      <c r="G244" t="s">
        <v>94</v>
      </c>
    </row>
    <row r="245" spans="1:7" x14ac:dyDescent="0.3">
      <c r="A245" t="s">
        <v>506</v>
      </c>
      <c r="B245" t="s">
        <v>507</v>
      </c>
      <c r="C245">
        <v>6</v>
      </c>
      <c r="D245">
        <v>3792000</v>
      </c>
      <c r="E245" t="s">
        <v>97</v>
      </c>
      <c r="F245" t="s">
        <v>11</v>
      </c>
      <c r="G245" t="s">
        <v>98</v>
      </c>
    </row>
    <row r="246" spans="1:7" x14ac:dyDescent="0.3">
      <c r="A246" t="s">
        <v>508</v>
      </c>
      <c r="B246" t="s">
        <v>362</v>
      </c>
      <c r="C246">
        <v>2</v>
      </c>
      <c r="D246">
        <v>1044000</v>
      </c>
      <c r="E246" t="s">
        <v>101</v>
      </c>
      <c r="F246" t="s">
        <v>10</v>
      </c>
      <c r="G246" t="s">
        <v>98</v>
      </c>
    </row>
    <row r="247" spans="1:7" x14ac:dyDescent="0.3">
      <c r="A247" t="s">
        <v>509</v>
      </c>
      <c r="B247" t="s">
        <v>510</v>
      </c>
      <c r="C247">
        <v>6</v>
      </c>
      <c r="D247">
        <v>2592000</v>
      </c>
      <c r="E247" t="s">
        <v>125</v>
      </c>
      <c r="F247" t="s">
        <v>13</v>
      </c>
      <c r="G247" t="s">
        <v>94</v>
      </c>
    </row>
    <row r="248" spans="1:7" x14ac:dyDescent="0.3">
      <c r="A248" t="s">
        <v>511</v>
      </c>
      <c r="B248" t="s">
        <v>512</v>
      </c>
      <c r="C248">
        <v>4</v>
      </c>
      <c r="D248">
        <v>1264000</v>
      </c>
      <c r="E248" t="s">
        <v>101</v>
      </c>
      <c r="F248" t="s">
        <v>13</v>
      </c>
      <c r="G248" t="s">
        <v>94</v>
      </c>
    </row>
    <row r="249" spans="1:7" x14ac:dyDescent="0.3">
      <c r="A249" t="s">
        <v>513</v>
      </c>
      <c r="B249" t="s">
        <v>501</v>
      </c>
      <c r="C249">
        <v>1</v>
      </c>
      <c r="D249">
        <v>370000</v>
      </c>
      <c r="E249" t="s">
        <v>93</v>
      </c>
      <c r="F249" t="s">
        <v>10</v>
      </c>
      <c r="G249" t="s">
        <v>98</v>
      </c>
    </row>
    <row r="250" spans="1:7" x14ac:dyDescent="0.3">
      <c r="A250" t="s">
        <v>514</v>
      </c>
      <c r="B250" t="s">
        <v>515</v>
      </c>
      <c r="C250">
        <v>7</v>
      </c>
      <c r="D250">
        <v>4032000</v>
      </c>
      <c r="E250" t="s">
        <v>93</v>
      </c>
      <c r="F250" t="s">
        <v>10</v>
      </c>
      <c r="G250" t="s">
        <v>98</v>
      </c>
    </row>
    <row r="251" spans="1:7" x14ac:dyDescent="0.3">
      <c r="A251" t="s">
        <v>516</v>
      </c>
      <c r="B251" t="s">
        <v>197</v>
      </c>
      <c r="C251">
        <v>11</v>
      </c>
      <c r="D251">
        <v>8107000</v>
      </c>
      <c r="E251" t="s">
        <v>101</v>
      </c>
      <c r="F251" t="s">
        <v>12</v>
      </c>
      <c r="G251" t="s">
        <v>94</v>
      </c>
    </row>
    <row r="252" spans="1:7" x14ac:dyDescent="0.3">
      <c r="A252" t="s">
        <v>517</v>
      </c>
      <c r="B252" t="s">
        <v>193</v>
      </c>
      <c r="C252">
        <v>1</v>
      </c>
      <c r="D252">
        <v>648000</v>
      </c>
      <c r="E252" t="s">
        <v>97</v>
      </c>
      <c r="F252" t="s">
        <v>12</v>
      </c>
      <c r="G252" t="s">
        <v>94</v>
      </c>
    </row>
    <row r="253" spans="1:7" x14ac:dyDescent="0.3">
      <c r="A253" t="s">
        <v>518</v>
      </c>
      <c r="B253" t="s">
        <v>519</v>
      </c>
      <c r="C253">
        <v>2</v>
      </c>
      <c r="D253">
        <v>662000</v>
      </c>
      <c r="E253" t="s">
        <v>93</v>
      </c>
      <c r="F253" t="s">
        <v>11</v>
      </c>
      <c r="G253" t="s">
        <v>98</v>
      </c>
    </row>
    <row r="254" spans="1:7" x14ac:dyDescent="0.3">
      <c r="A254" t="s">
        <v>520</v>
      </c>
      <c r="B254" t="s">
        <v>521</v>
      </c>
      <c r="C254">
        <v>1</v>
      </c>
      <c r="D254">
        <v>342000</v>
      </c>
      <c r="E254" t="s">
        <v>93</v>
      </c>
      <c r="F254" t="s">
        <v>12</v>
      </c>
      <c r="G254" t="s">
        <v>98</v>
      </c>
    </row>
    <row r="255" spans="1:7" x14ac:dyDescent="0.3">
      <c r="A255" t="s">
        <v>522</v>
      </c>
      <c r="B255" t="s">
        <v>454</v>
      </c>
      <c r="C255">
        <v>1</v>
      </c>
      <c r="D255">
        <v>478000</v>
      </c>
      <c r="E255" t="s">
        <v>93</v>
      </c>
      <c r="F255" t="s">
        <v>10</v>
      </c>
      <c r="G255" t="s">
        <v>98</v>
      </c>
    </row>
    <row r="256" spans="1:7" x14ac:dyDescent="0.3">
      <c r="A256" t="s">
        <v>523</v>
      </c>
      <c r="B256" t="s">
        <v>524</v>
      </c>
      <c r="C256">
        <v>2</v>
      </c>
      <c r="D256">
        <v>620000</v>
      </c>
      <c r="E256" t="s">
        <v>108</v>
      </c>
      <c r="F256" t="s">
        <v>10</v>
      </c>
      <c r="G256" t="s">
        <v>94</v>
      </c>
    </row>
    <row r="257" spans="1:7" x14ac:dyDescent="0.3">
      <c r="A257" t="s">
        <v>525</v>
      </c>
      <c r="B257" t="s">
        <v>206</v>
      </c>
      <c r="C257">
        <v>8</v>
      </c>
      <c r="D257">
        <v>4640000</v>
      </c>
      <c r="E257" t="s">
        <v>93</v>
      </c>
      <c r="F257" t="s">
        <v>9</v>
      </c>
      <c r="G257" t="s">
        <v>94</v>
      </c>
    </row>
    <row r="258" spans="1:7" x14ac:dyDescent="0.3">
      <c r="A258" t="s">
        <v>526</v>
      </c>
      <c r="B258" t="s">
        <v>471</v>
      </c>
      <c r="C258">
        <v>10</v>
      </c>
      <c r="D258">
        <v>2550000</v>
      </c>
      <c r="E258" t="s">
        <v>93</v>
      </c>
      <c r="F258" t="s">
        <v>13</v>
      </c>
      <c r="G258" t="s">
        <v>98</v>
      </c>
    </row>
    <row r="259" spans="1:7" x14ac:dyDescent="0.3">
      <c r="A259" t="s">
        <v>527</v>
      </c>
      <c r="B259" t="s">
        <v>145</v>
      </c>
      <c r="C259">
        <v>3</v>
      </c>
      <c r="D259">
        <v>1086000</v>
      </c>
      <c r="E259" t="s">
        <v>93</v>
      </c>
      <c r="F259" t="s">
        <v>9</v>
      </c>
      <c r="G259" t="s">
        <v>98</v>
      </c>
    </row>
    <row r="260" spans="1:7" x14ac:dyDescent="0.3">
      <c r="A260" t="s">
        <v>528</v>
      </c>
      <c r="B260" t="s">
        <v>482</v>
      </c>
      <c r="C260">
        <v>7</v>
      </c>
      <c r="D260">
        <v>2457000</v>
      </c>
      <c r="E260" t="s">
        <v>93</v>
      </c>
      <c r="F260" t="s">
        <v>9</v>
      </c>
      <c r="G260" t="s">
        <v>94</v>
      </c>
    </row>
    <row r="261" spans="1:7" x14ac:dyDescent="0.3">
      <c r="A261" t="s">
        <v>529</v>
      </c>
      <c r="B261" t="s">
        <v>303</v>
      </c>
      <c r="C261">
        <v>2</v>
      </c>
      <c r="D261">
        <v>480000</v>
      </c>
      <c r="E261" t="s">
        <v>108</v>
      </c>
      <c r="F261" t="s">
        <v>11</v>
      </c>
      <c r="G261" t="s">
        <v>94</v>
      </c>
    </row>
    <row r="262" spans="1:7" x14ac:dyDescent="0.3">
      <c r="A262" t="s">
        <v>530</v>
      </c>
      <c r="B262" t="s">
        <v>360</v>
      </c>
      <c r="C262">
        <v>1</v>
      </c>
      <c r="D262">
        <v>361000</v>
      </c>
      <c r="E262" t="s">
        <v>97</v>
      </c>
      <c r="F262" t="s">
        <v>10</v>
      </c>
      <c r="G262" t="s">
        <v>98</v>
      </c>
    </row>
    <row r="263" spans="1:7" x14ac:dyDescent="0.3">
      <c r="A263" t="s">
        <v>531</v>
      </c>
      <c r="B263" t="s">
        <v>315</v>
      </c>
      <c r="C263">
        <v>2</v>
      </c>
      <c r="D263">
        <v>610000</v>
      </c>
      <c r="E263" t="s">
        <v>101</v>
      </c>
      <c r="F263" t="s">
        <v>13</v>
      </c>
      <c r="G263" t="s">
        <v>94</v>
      </c>
    </row>
    <row r="264" spans="1:7" x14ac:dyDescent="0.3">
      <c r="A264" t="s">
        <v>532</v>
      </c>
      <c r="B264" t="s">
        <v>137</v>
      </c>
      <c r="C264">
        <v>4</v>
      </c>
      <c r="D264">
        <v>1972000</v>
      </c>
      <c r="E264" t="s">
        <v>108</v>
      </c>
      <c r="F264" t="s">
        <v>11</v>
      </c>
      <c r="G264" t="s">
        <v>98</v>
      </c>
    </row>
    <row r="265" spans="1:7" x14ac:dyDescent="0.3">
      <c r="A265" t="s">
        <v>533</v>
      </c>
      <c r="B265" t="s">
        <v>157</v>
      </c>
      <c r="C265">
        <v>2</v>
      </c>
      <c r="D265">
        <v>880000</v>
      </c>
      <c r="E265" t="s">
        <v>93</v>
      </c>
      <c r="F265" t="s">
        <v>12</v>
      </c>
      <c r="G265" t="s">
        <v>94</v>
      </c>
    </row>
    <row r="266" spans="1:7" x14ac:dyDescent="0.3">
      <c r="A266" t="s">
        <v>534</v>
      </c>
      <c r="B266" t="s">
        <v>358</v>
      </c>
      <c r="C266">
        <v>3</v>
      </c>
      <c r="D266">
        <v>1638000</v>
      </c>
      <c r="E266" t="s">
        <v>125</v>
      </c>
      <c r="F266" t="s">
        <v>11</v>
      </c>
      <c r="G266" t="s">
        <v>94</v>
      </c>
    </row>
    <row r="267" spans="1:7" x14ac:dyDescent="0.3">
      <c r="A267" t="s">
        <v>535</v>
      </c>
      <c r="B267" t="s">
        <v>96</v>
      </c>
      <c r="C267">
        <v>11</v>
      </c>
      <c r="D267">
        <v>2860000</v>
      </c>
      <c r="E267" t="s">
        <v>108</v>
      </c>
      <c r="F267" t="s">
        <v>12</v>
      </c>
      <c r="G267" t="s">
        <v>94</v>
      </c>
    </row>
    <row r="268" spans="1:7" x14ac:dyDescent="0.3">
      <c r="A268" t="s">
        <v>536</v>
      </c>
      <c r="B268" t="s">
        <v>537</v>
      </c>
      <c r="C268">
        <v>2</v>
      </c>
      <c r="D268">
        <v>578000</v>
      </c>
      <c r="E268" t="s">
        <v>93</v>
      </c>
      <c r="F268" t="s">
        <v>12</v>
      </c>
      <c r="G268" t="s">
        <v>94</v>
      </c>
    </row>
    <row r="269" spans="1:7" x14ac:dyDescent="0.3">
      <c r="A269" t="s">
        <v>538</v>
      </c>
      <c r="B269" t="s">
        <v>193</v>
      </c>
      <c r="C269">
        <v>3</v>
      </c>
      <c r="D269">
        <v>768000</v>
      </c>
      <c r="E269" t="s">
        <v>125</v>
      </c>
      <c r="F269" t="s">
        <v>12</v>
      </c>
      <c r="G269" t="s">
        <v>98</v>
      </c>
    </row>
    <row r="270" spans="1:7" x14ac:dyDescent="0.3">
      <c r="A270" t="s">
        <v>539</v>
      </c>
      <c r="B270" t="s">
        <v>147</v>
      </c>
      <c r="C270">
        <v>1</v>
      </c>
      <c r="D270">
        <v>387000</v>
      </c>
      <c r="E270" t="s">
        <v>108</v>
      </c>
      <c r="F270" t="s">
        <v>11</v>
      </c>
      <c r="G270" t="s">
        <v>94</v>
      </c>
    </row>
    <row r="271" spans="1:7" x14ac:dyDescent="0.3">
      <c r="A271" t="s">
        <v>540</v>
      </c>
      <c r="B271" t="s">
        <v>541</v>
      </c>
      <c r="C271">
        <v>2</v>
      </c>
      <c r="D271">
        <v>558000</v>
      </c>
      <c r="E271" t="s">
        <v>101</v>
      </c>
      <c r="F271" t="s">
        <v>9</v>
      </c>
      <c r="G271" t="s">
        <v>98</v>
      </c>
    </row>
    <row r="272" spans="1:7" x14ac:dyDescent="0.3">
      <c r="A272" t="s">
        <v>542</v>
      </c>
      <c r="B272" t="s">
        <v>543</v>
      </c>
      <c r="C272">
        <v>8</v>
      </c>
      <c r="D272">
        <v>2096000</v>
      </c>
      <c r="E272" t="s">
        <v>108</v>
      </c>
      <c r="F272" t="s">
        <v>13</v>
      </c>
      <c r="G272" t="s">
        <v>98</v>
      </c>
    </row>
    <row r="273" spans="1:7" x14ac:dyDescent="0.3">
      <c r="A273" t="s">
        <v>544</v>
      </c>
      <c r="B273" t="s">
        <v>366</v>
      </c>
      <c r="C273">
        <v>7</v>
      </c>
      <c r="D273">
        <v>1946000</v>
      </c>
      <c r="E273" t="s">
        <v>93</v>
      </c>
      <c r="F273" t="s">
        <v>9</v>
      </c>
      <c r="G273" t="s">
        <v>98</v>
      </c>
    </row>
    <row r="274" spans="1:7" x14ac:dyDescent="0.3">
      <c r="A274" t="s">
        <v>545</v>
      </c>
      <c r="B274" t="s">
        <v>250</v>
      </c>
      <c r="C274">
        <v>5</v>
      </c>
      <c r="D274">
        <v>3000000</v>
      </c>
      <c r="E274" t="s">
        <v>101</v>
      </c>
      <c r="F274" t="s">
        <v>12</v>
      </c>
      <c r="G274" t="s">
        <v>98</v>
      </c>
    </row>
    <row r="275" spans="1:7" x14ac:dyDescent="0.3">
      <c r="A275" t="s">
        <v>546</v>
      </c>
      <c r="B275" t="s">
        <v>547</v>
      </c>
      <c r="C275">
        <v>11</v>
      </c>
      <c r="D275">
        <v>3146000</v>
      </c>
      <c r="E275" t="s">
        <v>125</v>
      </c>
      <c r="F275" t="s">
        <v>10</v>
      </c>
      <c r="G275" t="s">
        <v>94</v>
      </c>
    </row>
    <row r="276" spans="1:7" x14ac:dyDescent="0.3">
      <c r="A276" t="s">
        <v>548</v>
      </c>
      <c r="B276" t="s">
        <v>490</v>
      </c>
      <c r="C276">
        <v>3</v>
      </c>
      <c r="D276">
        <v>732000</v>
      </c>
      <c r="E276" t="s">
        <v>125</v>
      </c>
      <c r="F276" t="s">
        <v>9</v>
      </c>
      <c r="G276" t="s">
        <v>94</v>
      </c>
    </row>
    <row r="277" spans="1:7" x14ac:dyDescent="0.3">
      <c r="A277" t="s">
        <v>549</v>
      </c>
      <c r="B277" t="s">
        <v>550</v>
      </c>
      <c r="C277">
        <v>3</v>
      </c>
      <c r="D277">
        <v>987000</v>
      </c>
      <c r="E277" t="s">
        <v>93</v>
      </c>
      <c r="F277" t="s">
        <v>11</v>
      </c>
      <c r="G277" t="s">
        <v>94</v>
      </c>
    </row>
    <row r="278" spans="1:7" x14ac:dyDescent="0.3">
      <c r="A278" t="s">
        <v>551</v>
      </c>
      <c r="B278" t="s">
        <v>444</v>
      </c>
      <c r="C278">
        <v>1</v>
      </c>
      <c r="D278">
        <v>261000</v>
      </c>
      <c r="E278" t="s">
        <v>108</v>
      </c>
      <c r="F278" t="s">
        <v>11</v>
      </c>
      <c r="G278" t="s">
        <v>94</v>
      </c>
    </row>
    <row r="279" spans="1:7" x14ac:dyDescent="0.3">
      <c r="A279" t="s">
        <v>552</v>
      </c>
      <c r="B279" t="s">
        <v>329</v>
      </c>
      <c r="C279">
        <v>11</v>
      </c>
      <c r="D279">
        <v>3696000</v>
      </c>
      <c r="E279" t="s">
        <v>97</v>
      </c>
      <c r="F279" t="s">
        <v>10</v>
      </c>
      <c r="G279" t="s">
        <v>98</v>
      </c>
    </row>
    <row r="280" spans="1:7" x14ac:dyDescent="0.3">
      <c r="A280" t="s">
        <v>553</v>
      </c>
      <c r="B280" t="s">
        <v>221</v>
      </c>
      <c r="C280">
        <v>3</v>
      </c>
      <c r="D280">
        <v>1155000</v>
      </c>
      <c r="E280" t="s">
        <v>97</v>
      </c>
      <c r="F280" t="s">
        <v>13</v>
      </c>
      <c r="G280" t="s">
        <v>98</v>
      </c>
    </row>
    <row r="281" spans="1:7" x14ac:dyDescent="0.3">
      <c r="A281" t="s">
        <v>554</v>
      </c>
      <c r="B281" t="s">
        <v>133</v>
      </c>
      <c r="C281">
        <v>1</v>
      </c>
      <c r="D281">
        <v>569000</v>
      </c>
      <c r="E281" t="s">
        <v>108</v>
      </c>
      <c r="F281" t="s">
        <v>9</v>
      </c>
      <c r="G281" t="s">
        <v>98</v>
      </c>
    </row>
    <row r="282" spans="1:7" x14ac:dyDescent="0.3">
      <c r="A282" t="s">
        <v>555</v>
      </c>
      <c r="B282" t="s">
        <v>556</v>
      </c>
      <c r="C282">
        <v>2</v>
      </c>
      <c r="D282">
        <v>514000</v>
      </c>
      <c r="E282" t="s">
        <v>101</v>
      </c>
      <c r="F282" t="s">
        <v>10</v>
      </c>
      <c r="G282" t="s">
        <v>94</v>
      </c>
    </row>
    <row r="283" spans="1:7" x14ac:dyDescent="0.3">
      <c r="A283" t="s">
        <v>557</v>
      </c>
      <c r="B283" t="s">
        <v>558</v>
      </c>
      <c r="C283">
        <v>1</v>
      </c>
      <c r="D283">
        <v>253000</v>
      </c>
      <c r="E283" t="s">
        <v>108</v>
      </c>
      <c r="F283" t="s">
        <v>10</v>
      </c>
      <c r="G283" t="s">
        <v>98</v>
      </c>
    </row>
    <row r="284" spans="1:7" x14ac:dyDescent="0.3">
      <c r="A284" t="s">
        <v>559</v>
      </c>
      <c r="B284" t="s">
        <v>189</v>
      </c>
      <c r="C284">
        <v>2</v>
      </c>
      <c r="D284">
        <v>632000</v>
      </c>
      <c r="E284" t="s">
        <v>101</v>
      </c>
      <c r="F284" t="s">
        <v>10</v>
      </c>
      <c r="G284" t="s">
        <v>94</v>
      </c>
    </row>
    <row r="285" spans="1:7" x14ac:dyDescent="0.3">
      <c r="A285" t="s">
        <v>560</v>
      </c>
      <c r="B285" t="s">
        <v>561</v>
      </c>
      <c r="C285">
        <v>5</v>
      </c>
      <c r="D285">
        <v>1225000</v>
      </c>
      <c r="E285" t="s">
        <v>125</v>
      </c>
      <c r="F285" t="s">
        <v>12</v>
      </c>
      <c r="G285" t="s">
        <v>98</v>
      </c>
    </row>
    <row r="286" spans="1:7" x14ac:dyDescent="0.3">
      <c r="A286" t="s">
        <v>562</v>
      </c>
      <c r="B286" t="s">
        <v>349</v>
      </c>
      <c r="C286">
        <v>7</v>
      </c>
      <c r="D286">
        <v>4746000</v>
      </c>
      <c r="E286" t="s">
        <v>101</v>
      </c>
      <c r="F286" t="s">
        <v>11</v>
      </c>
      <c r="G286" t="s">
        <v>94</v>
      </c>
    </row>
    <row r="287" spans="1:7" x14ac:dyDescent="0.3">
      <c r="A287" t="s">
        <v>563</v>
      </c>
      <c r="B287" t="s">
        <v>564</v>
      </c>
      <c r="C287">
        <v>4</v>
      </c>
      <c r="D287">
        <v>2804000</v>
      </c>
      <c r="E287" t="s">
        <v>101</v>
      </c>
      <c r="F287" t="s">
        <v>9</v>
      </c>
      <c r="G287" t="s">
        <v>94</v>
      </c>
    </row>
    <row r="288" spans="1:7" x14ac:dyDescent="0.3">
      <c r="A288" t="s">
        <v>565</v>
      </c>
      <c r="B288" t="s">
        <v>217</v>
      </c>
      <c r="C288">
        <v>2</v>
      </c>
      <c r="D288">
        <v>1216000</v>
      </c>
      <c r="E288" t="s">
        <v>108</v>
      </c>
      <c r="F288" t="s">
        <v>12</v>
      </c>
      <c r="G288" t="s">
        <v>98</v>
      </c>
    </row>
    <row r="289" spans="1:7" x14ac:dyDescent="0.3">
      <c r="A289" t="s">
        <v>566</v>
      </c>
      <c r="B289" t="s">
        <v>567</v>
      </c>
      <c r="C289">
        <v>5</v>
      </c>
      <c r="D289">
        <v>1200000</v>
      </c>
      <c r="E289" t="s">
        <v>101</v>
      </c>
      <c r="F289" t="s">
        <v>12</v>
      </c>
      <c r="G289" t="s">
        <v>94</v>
      </c>
    </row>
    <row r="290" spans="1:7" x14ac:dyDescent="0.3">
      <c r="A290" t="s">
        <v>568</v>
      </c>
      <c r="B290" t="s">
        <v>569</v>
      </c>
      <c r="C290">
        <v>1</v>
      </c>
      <c r="D290">
        <v>739000</v>
      </c>
      <c r="E290" t="s">
        <v>125</v>
      </c>
      <c r="F290" t="s">
        <v>11</v>
      </c>
      <c r="G290" t="s">
        <v>94</v>
      </c>
    </row>
    <row r="291" spans="1:7" x14ac:dyDescent="0.3">
      <c r="A291" t="s">
        <v>570</v>
      </c>
      <c r="B291" t="s">
        <v>571</v>
      </c>
      <c r="C291">
        <v>1</v>
      </c>
      <c r="D291">
        <v>262000</v>
      </c>
      <c r="E291" t="s">
        <v>125</v>
      </c>
      <c r="F291" t="s">
        <v>12</v>
      </c>
      <c r="G291" t="s">
        <v>94</v>
      </c>
    </row>
    <row r="292" spans="1:7" x14ac:dyDescent="0.3">
      <c r="A292" t="s">
        <v>572</v>
      </c>
      <c r="B292" t="s">
        <v>325</v>
      </c>
      <c r="C292">
        <v>3</v>
      </c>
      <c r="D292">
        <v>966000</v>
      </c>
      <c r="E292" t="s">
        <v>93</v>
      </c>
      <c r="F292" t="s">
        <v>9</v>
      </c>
      <c r="G292" t="s">
        <v>94</v>
      </c>
    </row>
    <row r="293" spans="1:7" x14ac:dyDescent="0.3">
      <c r="A293" t="s">
        <v>573</v>
      </c>
      <c r="B293" t="s">
        <v>201</v>
      </c>
      <c r="C293">
        <v>1</v>
      </c>
      <c r="D293">
        <v>394000</v>
      </c>
      <c r="E293" t="s">
        <v>97</v>
      </c>
      <c r="F293" t="s">
        <v>13</v>
      </c>
      <c r="G293" t="s">
        <v>94</v>
      </c>
    </row>
    <row r="294" spans="1:7" x14ac:dyDescent="0.3">
      <c r="A294" t="s">
        <v>574</v>
      </c>
      <c r="B294" t="s">
        <v>575</v>
      </c>
      <c r="C294">
        <v>4</v>
      </c>
      <c r="D294">
        <v>2608000</v>
      </c>
      <c r="E294" t="s">
        <v>97</v>
      </c>
      <c r="F294" t="s">
        <v>9</v>
      </c>
      <c r="G294" t="s">
        <v>98</v>
      </c>
    </row>
    <row r="295" spans="1:7" x14ac:dyDescent="0.3">
      <c r="A295" t="s">
        <v>576</v>
      </c>
      <c r="B295" t="s">
        <v>577</v>
      </c>
      <c r="C295">
        <v>1</v>
      </c>
      <c r="D295">
        <v>447000</v>
      </c>
      <c r="E295" t="s">
        <v>125</v>
      </c>
      <c r="F295" t="s">
        <v>12</v>
      </c>
      <c r="G295" t="s">
        <v>94</v>
      </c>
    </row>
    <row r="296" spans="1:7" x14ac:dyDescent="0.3">
      <c r="A296" t="s">
        <v>578</v>
      </c>
      <c r="B296" t="s">
        <v>349</v>
      </c>
      <c r="C296">
        <v>3</v>
      </c>
      <c r="D296">
        <v>1890000</v>
      </c>
      <c r="E296" t="s">
        <v>93</v>
      </c>
      <c r="F296" t="s">
        <v>11</v>
      </c>
      <c r="G296" t="s">
        <v>98</v>
      </c>
    </row>
    <row r="297" spans="1:7" x14ac:dyDescent="0.3">
      <c r="A297" t="s">
        <v>579</v>
      </c>
      <c r="B297" t="s">
        <v>137</v>
      </c>
      <c r="C297">
        <v>10</v>
      </c>
      <c r="D297">
        <v>6340000</v>
      </c>
      <c r="E297" t="s">
        <v>93</v>
      </c>
      <c r="F297" t="s">
        <v>10</v>
      </c>
      <c r="G297" t="s">
        <v>94</v>
      </c>
    </row>
    <row r="298" spans="1:7" x14ac:dyDescent="0.3">
      <c r="A298" t="s">
        <v>580</v>
      </c>
      <c r="B298" t="s">
        <v>210</v>
      </c>
      <c r="C298">
        <v>11</v>
      </c>
      <c r="D298">
        <v>5522000</v>
      </c>
      <c r="E298" t="s">
        <v>97</v>
      </c>
      <c r="F298" t="s">
        <v>10</v>
      </c>
      <c r="G298" t="s">
        <v>98</v>
      </c>
    </row>
    <row r="299" spans="1:7" x14ac:dyDescent="0.3">
      <c r="A299" t="s">
        <v>581</v>
      </c>
      <c r="B299" t="s">
        <v>582</v>
      </c>
      <c r="C299">
        <v>12</v>
      </c>
      <c r="D299">
        <v>2964000</v>
      </c>
      <c r="E299" t="s">
        <v>97</v>
      </c>
      <c r="F299" t="s">
        <v>9</v>
      </c>
      <c r="G299" t="s">
        <v>94</v>
      </c>
    </row>
    <row r="300" spans="1:7" x14ac:dyDescent="0.3">
      <c r="A300" t="s">
        <v>583</v>
      </c>
      <c r="B300" t="s">
        <v>256</v>
      </c>
      <c r="C300">
        <v>2</v>
      </c>
      <c r="D300">
        <v>1116000</v>
      </c>
      <c r="E300" t="s">
        <v>101</v>
      </c>
      <c r="F300" t="s">
        <v>13</v>
      </c>
      <c r="G300" t="s">
        <v>98</v>
      </c>
    </row>
    <row r="301" spans="1:7" x14ac:dyDescent="0.3">
      <c r="A301" t="s">
        <v>584</v>
      </c>
      <c r="B301" t="s">
        <v>585</v>
      </c>
      <c r="C301">
        <v>3</v>
      </c>
      <c r="D301">
        <v>885000</v>
      </c>
      <c r="E301" t="s">
        <v>125</v>
      </c>
      <c r="F301" t="s">
        <v>10</v>
      </c>
      <c r="G301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workbookViewId="0"/>
  </sheetViews>
  <sheetFormatPr defaultRowHeight="14.4" x14ac:dyDescent="0.3"/>
  <sheetData>
    <row r="1" spans="1:10" x14ac:dyDescent="0.3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  <c r="G1" t="s">
        <v>592</v>
      </c>
      <c r="H1" t="s">
        <v>593</v>
      </c>
      <c r="I1" t="s">
        <v>594</v>
      </c>
    </row>
    <row r="2" spans="1:10" x14ac:dyDescent="0.3">
      <c r="A2" t="s">
        <v>595</v>
      </c>
      <c r="B2" t="s">
        <v>596</v>
      </c>
      <c r="C2" t="s">
        <v>125</v>
      </c>
      <c r="D2">
        <v>58000</v>
      </c>
      <c r="E2">
        <v>39000</v>
      </c>
      <c r="F2">
        <v>97</v>
      </c>
      <c r="G2">
        <v>767</v>
      </c>
      <c r="H2" t="s">
        <v>94</v>
      </c>
      <c r="I2" t="s">
        <v>597</v>
      </c>
      <c r="J2" t="s">
        <v>598</v>
      </c>
    </row>
    <row r="3" spans="1:10" x14ac:dyDescent="0.3">
      <c r="A3" t="s">
        <v>599</v>
      </c>
      <c r="B3" t="s">
        <v>600</v>
      </c>
      <c r="C3" t="s">
        <v>125</v>
      </c>
      <c r="D3">
        <v>290000</v>
      </c>
      <c r="E3">
        <v>196000</v>
      </c>
      <c r="F3">
        <v>155</v>
      </c>
      <c r="G3">
        <v>435</v>
      </c>
      <c r="H3" t="s">
        <v>94</v>
      </c>
      <c r="I3" t="s">
        <v>597</v>
      </c>
      <c r="J3" t="s">
        <v>601</v>
      </c>
    </row>
    <row r="4" spans="1:10" x14ac:dyDescent="0.3">
      <c r="A4" t="s">
        <v>602</v>
      </c>
      <c r="B4" t="s">
        <v>603</v>
      </c>
      <c r="C4" t="s">
        <v>125</v>
      </c>
      <c r="D4">
        <v>220000</v>
      </c>
      <c r="E4">
        <v>129000</v>
      </c>
      <c r="F4">
        <v>146</v>
      </c>
      <c r="G4">
        <v>222</v>
      </c>
      <c r="H4" t="s">
        <v>98</v>
      </c>
      <c r="I4" t="s">
        <v>597</v>
      </c>
      <c r="J4" t="s">
        <v>604</v>
      </c>
    </row>
    <row r="5" spans="1:10" x14ac:dyDescent="0.3">
      <c r="A5" t="s">
        <v>605</v>
      </c>
      <c r="B5" t="s">
        <v>606</v>
      </c>
      <c r="C5" t="s">
        <v>125</v>
      </c>
      <c r="D5">
        <v>35000</v>
      </c>
      <c r="E5">
        <v>24000</v>
      </c>
      <c r="F5">
        <v>172</v>
      </c>
      <c r="G5">
        <v>793</v>
      </c>
      <c r="H5" t="s">
        <v>98</v>
      </c>
      <c r="I5" t="s">
        <v>597</v>
      </c>
      <c r="J5" t="s">
        <v>607</v>
      </c>
    </row>
    <row r="6" spans="1:10" x14ac:dyDescent="0.3">
      <c r="A6" t="s">
        <v>608</v>
      </c>
      <c r="B6" t="s">
        <v>609</v>
      </c>
      <c r="C6" t="s">
        <v>125</v>
      </c>
      <c r="D6">
        <v>290000</v>
      </c>
      <c r="E6">
        <v>181000</v>
      </c>
      <c r="F6">
        <v>150</v>
      </c>
      <c r="G6">
        <v>203</v>
      </c>
      <c r="H6" t="s">
        <v>98</v>
      </c>
      <c r="I6" t="s">
        <v>597</v>
      </c>
      <c r="J6" t="s">
        <v>610</v>
      </c>
    </row>
    <row r="7" spans="1:10" x14ac:dyDescent="0.3">
      <c r="A7" t="s">
        <v>611</v>
      </c>
      <c r="B7" t="s">
        <v>612</v>
      </c>
      <c r="C7" t="s">
        <v>125</v>
      </c>
      <c r="D7">
        <v>220000</v>
      </c>
      <c r="E7">
        <v>157000</v>
      </c>
      <c r="F7">
        <v>35</v>
      </c>
      <c r="G7">
        <v>840</v>
      </c>
      <c r="H7" t="s">
        <v>94</v>
      </c>
      <c r="I7" t="s">
        <v>597</v>
      </c>
      <c r="J7" t="s">
        <v>613</v>
      </c>
    </row>
    <row r="8" spans="1:10" x14ac:dyDescent="0.3">
      <c r="A8" t="s">
        <v>614</v>
      </c>
      <c r="B8" t="s">
        <v>615</v>
      </c>
      <c r="C8" t="s">
        <v>125</v>
      </c>
      <c r="D8">
        <v>75000</v>
      </c>
      <c r="E8">
        <v>52000</v>
      </c>
      <c r="F8">
        <v>173</v>
      </c>
      <c r="G8">
        <v>178</v>
      </c>
      <c r="H8" t="s">
        <v>98</v>
      </c>
      <c r="I8" t="s">
        <v>597</v>
      </c>
      <c r="J8" t="s">
        <v>616</v>
      </c>
    </row>
    <row r="9" spans="1:10" x14ac:dyDescent="0.3">
      <c r="A9" t="s">
        <v>617</v>
      </c>
      <c r="B9" t="s">
        <v>618</v>
      </c>
      <c r="C9" t="s">
        <v>125</v>
      </c>
      <c r="D9">
        <v>45000</v>
      </c>
      <c r="E9">
        <v>32000</v>
      </c>
      <c r="F9">
        <v>114</v>
      </c>
      <c r="G9">
        <v>186</v>
      </c>
      <c r="H9" t="s">
        <v>98</v>
      </c>
      <c r="I9" t="s">
        <v>597</v>
      </c>
      <c r="J9" t="s">
        <v>619</v>
      </c>
    </row>
    <row r="10" spans="1:10" x14ac:dyDescent="0.3">
      <c r="A10" t="s">
        <v>620</v>
      </c>
      <c r="B10" t="s">
        <v>621</v>
      </c>
      <c r="C10" t="s">
        <v>108</v>
      </c>
      <c r="D10">
        <v>95000</v>
      </c>
      <c r="E10">
        <v>56000</v>
      </c>
      <c r="F10">
        <v>162</v>
      </c>
      <c r="G10">
        <v>597</v>
      </c>
      <c r="H10" t="s">
        <v>98</v>
      </c>
      <c r="I10" t="s">
        <v>597</v>
      </c>
      <c r="J10" t="s">
        <v>622</v>
      </c>
    </row>
    <row r="11" spans="1:10" x14ac:dyDescent="0.3">
      <c r="A11" t="s">
        <v>623</v>
      </c>
      <c r="B11" t="s">
        <v>624</v>
      </c>
      <c r="C11" t="s">
        <v>108</v>
      </c>
      <c r="D11">
        <v>165000</v>
      </c>
      <c r="E11">
        <v>120000</v>
      </c>
      <c r="F11">
        <v>84</v>
      </c>
      <c r="G11">
        <v>75</v>
      </c>
      <c r="H11" t="s">
        <v>94</v>
      </c>
      <c r="I11" t="s">
        <v>597</v>
      </c>
      <c r="J11" t="s">
        <v>625</v>
      </c>
    </row>
    <row r="12" spans="1:10" x14ac:dyDescent="0.3">
      <c r="A12" t="s">
        <v>626</v>
      </c>
      <c r="B12" t="s">
        <v>627</v>
      </c>
      <c r="C12" t="s">
        <v>108</v>
      </c>
      <c r="D12">
        <v>290000</v>
      </c>
      <c r="E12">
        <v>167000</v>
      </c>
      <c r="F12">
        <v>196</v>
      </c>
      <c r="G12">
        <v>150</v>
      </c>
      <c r="H12" t="s">
        <v>94</v>
      </c>
      <c r="I12" t="s">
        <v>597</v>
      </c>
      <c r="J12" t="s">
        <v>628</v>
      </c>
    </row>
    <row r="13" spans="1:10" x14ac:dyDescent="0.3">
      <c r="A13" t="s">
        <v>629</v>
      </c>
      <c r="B13" t="s">
        <v>630</v>
      </c>
      <c r="C13" t="s">
        <v>108</v>
      </c>
      <c r="D13">
        <v>35000</v>
      </c>
      <c r="E13">
        <v>20000</v>
      </c>
      <c r="F13">
        <v>108</v>
      </c>
      <c r="G13">
        <v>115</v>
      </c>
      <c r="H13" t="s">
        <v>94</v>
      </c>
      <c r="I13" t="s">
        <v>597</v>
      </c>
      <c r="J13" t="s">
        <v>631</v>
      </c>
    </row>
    <row r="14" spans="1:10" x14ac:dyDescent="0.3">
      <c r="A14" t="s">
        <v>632</v>
      </c>
      <c r="B14" t="s">
        <v>633</v>
      </c>
      <c r="C14" t="s">
        <v>108</v>
      </c>
      <c r="D14">
        <v>350000</v>
      </c>
      <c r="E14">
        <v>199000</v>
      </c>
      <c r="F14">
        <v>174</v>
      </c>
      <c r="G14">
        <v>618</v>
      </c>
      <c r="H14" t="s">
        <v>98</v>
      </c>
      <c r="I14" t="s">
        <v>597</v>
      </c>
      <c r="J14" t="s">
        <v>634</v>
      </c>
    </row>
    <row r="15" spans="1:10" x14ac:dyDescent="0.3">
      <c r="A15" t="s">
        <v>635</v>
      </c>
      <c r="B15" t="s">
        <v>636</v>
      </c>
      <c r="C15" t="s">
        <v>108</v>
      </c>
      <c r="D15">
        <v>35000</v>
      </c>
      <c r="E15">
        <v>20000</v>
      </c>
      <c r="F15">
        <v>57</v>
      </c>
      <c r="G15">
        <v>690</v>
      </c>
      <c r="H15" t="s">
        <v>98</v>
      </c>
      <c r="I15" t="s">
        <v>597</v>
      </c>
      <c r="J15" t="s">
        <v>637</v>
      </c>
    </row>
    <row r="16" spans="1:10" x14ac:dyDescent="0.3">
      <c r="A16" t="s">
        <v>638</v>
      </c>
      <c r="B16" t="s">
        <v>639</v>
      </c>
      <c r="C16" t="s">
        <v>108</v>
      </c>
      <c r="D16">
        <v>95000</v>
      </c>
      <c r="E16">
        <v>66000</v>
      </c>
      <c r="F16">
        <v>132</v>
      </c>
      <c r="G16">
        <v>311</v>
      </c>
      <c r="H16" t="s">
        <v>98</v>
      </c>
      <c r="I16" t="s">
        <v>597</v>
      </c>
      <c r="J16" t="s">
        <v>640</v>
      </c>
    </row>
    <row r="17" spans="1:10" x14ac:dyDescent="0.3">
      <c r="A17" t="s">
        <v>641</v>
      </c>
      <c r="B17" t="s">
        <v>642</v>
      </c>
      <c r="C17" t="s">
        <v>108</v>
      </c>
      <c r="D17">
        <v>220000</v>
      </c>
      <c r="E17">
        <v>141000</v>
      </c>
      <c r="F17">
        <v>113</v>
      </c>
      <c r="G17">
        <v>150</v>
      </c>
      <c r="H17" t="s">
        <v>98</v>
      </c>
      <c r="I17" t="s">
        <v>597</v>
      </c>
      <c r="J17" t="s">
        <v>643</v>
      </c>
    </row>
    <row r="18" spans="1:10" x14ac:dyDescent="0.3">
      <c r="A18" t="s">
        <v>644</v>
      </c>
      <c r="B18" t="s">
        <v>645</v>
      </c>
      <c r="C18" t="s">
        <v>101</v>
      </c>
      <c r="D18">
        <v>58000</v>
      </c>
      <c r="E18">
        <v>42000</v>
      </c>
      <c r="F18">
        <v>152</v>
      </c>
      <c r="G18">
        <v>616</v>
      </c>
      <c r="H18" t="s">
        <v>98</v>
      </c>
      <c r="I18" t="s">
        <v>597</v>
      </c>
      <c r="J18" t="s">
        <v>646</v>
      </c>
    </row>
    <row r="19" spans="1:10" x14ac:dyDescent="0.3">
      <c r="A19" t="s">
        <v>647</v>
      </c>
      <c r="B19" t="s">
        <v>648</v>
      </c>
      <c r="C19" t="s">
        <v>101</v>
      </c>
      <c r="D19">
        <v>350000</v>
      </c>
      <c r="E19">
        <v>223000</v>
      </c>
      <c r="F19">
        <v>103</v>
      </c>
      <c r="G19">
        <v>882</v>
      </c>
      <c r="H19" t="s">
        <v>98</v>
      </c>
      <c r="I19" t="s">
        <v>597</v>
      </c>
      <c r="J19" t="s">
        <v>649</v>
      </c>
    </row>
    <row r="20" spans="1:10" x14ac:dyDescent="0.3">
      <c r="A20" t="s">
        <v>650</v>
      </c>
      <c r="B20" t="s">
        <v>651</v>
      </c>
      <c r="C20" t="s">
        <v>101</v>
      </c>
      <c r="D20">
        <v>28000</v>
      </c>
      <c r="E20">
        <v>17000</v>
      </c>
      <c r="F20">
        <v>131</v>
      </c>
      <c r="G20">
        <v>815</v>
      </c>
      <c r="H20" t="s">
        <v>94</v>
      </c>
      <c r="I20" t="s">
        <v>597</v>
      </c>
      <c r="J20" t="s">
        <v>652</v>
      </c>
    </row>
    <row r="21" spans="1:10" x14ac:dyDescent="0.3">
      <c r="A21" t="s">
        <v>653</v>
      </c>
      <c r="B21" t="s">
        <v>654</v>
      </c>
      <c r="C21" t="s">
        <v>101</v>
      </c>
      <c r="D21">
        <v>75000</v>
      </c>
      <c r="E21">
        <v>45000</v>
      </c>
      <c r="F21">
        <v>92</v>
      </c>
      <c r="G21">
        <v>273</v>
      </c>
      <c r="H21" t="s">
        <v>94</v>
      </c>
      <c r="I21" t="s">
        <v>597</v>
      </c>
      <c r="J21" t="s">
        <v>655</v>
      </c>
    </row>
    <row r="22" spans="1:10" x14ac:dyDescent="0.3">
      <c r="A22" t="s">
        <v>656</v>
      </c>
      <c r="B22" t="s">
        <v>657</v>
      </c>
      <c r="C22" t="s">
        <v>101</v>
      </c>
      <c r="D22">
        <v>15000</v>
      </c>
      <c r="E22">
        <v>9000</v>
      </c>
      <c r="F22">
        <v>144</v>
      </c>
      <c r="G22">
        <v>239</v>
      </c>
      <c r="H22" t="s">
        <v>98</v>
      </c>
      <c r="I22" t="s">
        <v>597</v>
      </c>
      <c r="J22" t="s">
        <v>658</v>
      </c>
    </row>
    <row r="23" spans="1:10" x14ac:dyDescent="0.3">
      <c r="A23" t="s">
        <v>659</v>
      </c>
      <c r="B23" t="s">
        <v>660</v>
      </c>
      <c r="C23" t="s">
        <v>101</v>
      </c>
      <c r="D23">
        <v>220000</v>
      </c>
      <c r="E23">
        <v>153000</v>
      </c>
      <c r="F23">
        <v>178</v>
      </c>
      <c r="G23">
        <v>273</v>
      </c>
      <c r="H23" t="s">
        <v>98</v>
      </c>
      <c r="I23" t="s">
        <v>597</v>
      </c>
      <c r="J23" t="s">
        <v>661</v>
      </c>
    </row>
    <row r="24" spans="1:10" x14ac:dyDescent="0.3">
      <c r="A24" t="s">
        <v>662</v>
      </c>
      <c r="B24" t="s">
        <v>663</v>
      </c>
      <c r="C24" t="s">
        <v>101</v>
      </c>
      <c r="D24">
        <v>220000</v>
      </c>
      <c r="E24">
        <v>139000</v>
      </c>
      <c r="F24">
        <v>49</v>
      </c>
      <c r="G24">
        <v>285</v>
      </c>
      <c r="H24" t="s">
        <v>98</v>
      </c>
      <c r="I24" t="s">
        <v>597</v>
      </c>
      <c r="J24" t="s">
        <v>664</v>
      </c>
    </row>
    <row r="25" spans="1:10" x14ac:dyDescent="0.3">
      <c r="A25" t="s">
        <v>665</v>
      </c>
      <c r="B25" t="s">
        <v>666</v>
      </c>
      <c r="C25" t="s">
        <v>101</v>
      </c>
      <c r="D25">
        <v>75000</v>
      </c>
      <c r="E25">
        <v>52000</v>
      </c>
      <c r="F25">
        <v>29</v>
      </c>
      <c r="G25">
        <v>394</v>
      </c>
      <c r="H25" t="s">
        <v>98</v>
      </c>
      <c r="I25" t="s">
        <v>597</v>
      </c>
      <c r="J25" t="s">
        <v>667</v>
      </c>
    </row>
    <row r="26" spans="1:10" x14ac:dyDescent="0.3">
      <c r="A26" t="s">
        <v>668</v>
      </c>
      <c r="B26" t="s">
        <v>669</v>
      </c>
      <c r="C26" t="s">
        <v>97</v>
      </c>
      <c r="D26">
        <v>35000</v>
      </c>
      <c r="E26">
        <v>26000</v>
      </c>
      <c r="F26">
        <v>115</v>
      </c>
      <c r="G26">
        <v>524</v>
      </c>
      <c r="H26" t="s">
        <v>94</v>
      </c>
      <c r="I26" t="s">
        <v>597</v>
      </c>
      <c r="J26" t="s">
        <v>670</v>
      </c>
    </row>
    <row r="27" spans="1:10" x14ac:dyDescent="0.3">
      <c r="A27" t="s">
        <v>671</v>
      </c>
      <c r="B27" t="s">
        <v>672</v>
      </c>
      <c r="C27" t="s">
        <v>97</v>
      </c>
      <c r="D27">
        <v>120000</v>
      </c>
      <c r="E27">
        <v>85000</v>
      </c>
      <c r="F27">
        <v>40</v>
      </c>
      <c r="G27">
        <v>928</v>
      </c>
      <c r="H27" t="s">
        <v>98</v>
      </c>
      <c r="I27" t="s">
        <v>597</v>
      </c>
      <c r="J27" t="s">
        <v>673</v>
      </c>
    </row>
    <row r="28" spans="1:10" x14ac:dyDescent="0.3">
      <c r="A28" t="s">
        <v>674</v>
      </c>
      <c r="B28" t="s">
        <v>675</v>
      </c>
      <c r="C28" t="s">
        <v>97</v>
      </c>
      <c r="D28">
        <v>35000</v>
      </c>
      <c r="E28">
        <v>21000</v>
      </c>
      <c r="F28">
        <v>22</v>
      </c>
      <c r="G28">
        <v>241</v>
      </c>
      <c r="H28" t="s">
        <v>98</v>
      </c>
      <c r="I28" t="s">
        <v>597</v>
      </c>
      <c r="J28" t="s">
        <v>676</v>
      </c>
    </row>
    <row r="29" spans="1:10" x14ac:dyDescent="0.3">
      <c r="A29" t="s">
        <v>677</v>
      </c>
      <c r="B29" t="s">
        <v>678</v>
      </c>
      <c r="C29" t="s">
        <v>97</v>
      </c>
      <c r="D29">
        <v>35000</v>
      </c>
      <c r="E29">
        <v>21000</v>
      </c>
      <c r="F29">
        <v>126</v>
      </c>
      <c r="G29">
        <v>228</v>
      </c>
      <c r="H29" t="s">
        <v>98</v>
      </c>
      <c r="I29" t="s">
        <v>597</v>
      </c>
      <c r="J29" t="s">
        <v>679</v>
      </c>
    </row>
    <row r="30" spans="1:10" x14ac:dyDescent="0.3">
      <c r="A30" t="s">
        <v>680</v>
      </c>
      <c r="B30" t="s">
        <v>681</v>
      </c>
      <c r="C30" t="s">
        <v>97</v>
      </c>
      <c r="D30">
        <v>350000</v>
      </c>
      <c r="E30">
        <v>260000</v>
      </c>
      <c r="F30">
        <v>25</v>
      </c>
      <c r="G30">
        <v>212</v>
      </c>
      <c r="H30" t="s">
        <v>98</v>
      </c>
      <c r="I30" t="s">
        <v>597</v>
      </c>
      <c r="J30" t="s">
        <v>682</v>
      </c>
    </row>
    <row r="31" spans="1:10" x14ac:dyDescent="0.3">
      <c r="A31" t="s">
        <v>683</v>
      </c>
      <c r="B31" t="s">
        <v>684</v>
      </c>
      <c r="C31" t="s">
        <v>97</v>
      </c>
      <c r="D31">
        <v>22000</v>
      </c>
      <c r="E31">
        <v>16000</v>
      </c>
      <c r="F31">
        <v>86</v>
      </c>
      <c r="G31">
        <v>360</v>
      </c>
      <c r="H31" t="s">
        <v>94</v>
      </c>
      <c r="I31" t="s">
        <v>597</v>
      </c>
      <c r="J31" t="s">
        <v>685</v>
      </c>
    </row>
    <row r="32" spans="1:10" x14ac:dyDescent="0.3">
      <c r="A32" t="s">
        <v>686</v>
      </c>
      <c r="B32" t="s">
        <v>687</v>
      </c>
      <c r="C32" t="s">
        <v>97</v>
      </c>
      <c r="D32">
        <v>165000</v>
      </c>
      <c r="E32">
        <v>92000</v>
      </c>
      <c r="F32">
        <v>196</v>
      </c>
      <c r="G32">
        <v>628</v>
      </c>
      <c r="H32" t="s">
        <v>98</v>
      </c>
      <c r="I32" t="s">
        <v>597</v>
      </c>
      <c r="J32" t="s">
        <v>688</v>
      </c>
    </row>
    <row r="33" spans="1:10" x14ac:dyDescent="0.3">
      <c r="A33" t="s">
        <v>689</v>
      </c>
      <c r="B33" t="s">
        <v>690</v>
      </c>
      <c r="C33" t="s">
        <v>97</v>
      </c>
      <c r="D33">
        <v>350000</v>
      </c>
      <c r="E33">
        <v>248000</v>
      </c>
      <c r="F33">
        <v>50</v>
      </c>
      <c r="G33">
        <v>799</v>
      </c>
      <c r="H33" t="s">
        <v>98</v>
      </c>
      <c r="I33" t="s">
        <v>597</v>
      </c>
      <c r="J33" t="s">
        <v>691</v>
      </c>
    </row>
    <row r="34" spans="1:10" x14ac:dyDescent="0.3">
      <c r="A34" t="s">
        <v>692</v>
      </c>
      <c r="B34" t="s">
        <v>693</v>
      </c>
      <c r="C34" t="s">
        <v>93</v>
      </c>
      <c r="D34">
        <v>28000</v>
      </c>
      <c r="E34">
        <v>20000</v>
      </c>
      <c r="F34">
        <v>27</v>
      </c>
      <c r="G34">
        <v>710</v>
      </c>
      <c r="H34" t="s">
        <v>98</v>
      </c>
      <c r="I34" t="s">
        <v>597</v>
      </c>
      <c r="J34" t="s">
        <v>694</v>
      </c>
    </row>
    <row r="35" spans="1:10" x14ac:dyDescent="0.3">
      <c r="A35" t="s">
        <v>695</v>
      </c>
      <c r="B35" t="s">
        <v>696</v>
      </c>
      <c r="C35" t="s">
        <v>93</v>
      </c>
      <c r="D35">
        <v>22000</v>
      </c>
      <c r="E35">
        <v>15000</v>
      </c>
      <c r="F35">
        <v>123</v>
      </c>
      <c r="G35">
        <v>907</v>
      </c>
      <c r="H35" t="s">
        <v>94</v>
      </c>
      <c r="I35" t="s">
        <v>597</v>
      </c>
      <c r="J35" t="s">
        <v>697</v>
      </c>
    </row>
    <row r="36" spans="1:10" x14ac:dyDescent="0.3">
      <c r="A36" t="s">
        <v>698</v>
      </c>
      <c r="B36" t="s">
        <v>699</v>
      </c>
      <c r="C36" t="s">
        <v>93</v>
      </c>
      <c r="D36">
        <v>290000</v>
      </c>
      <c r="E36">
        <v>212000</v>
      </c>
      <c r="F36">
        <v>139</v>
      </c>
      <c r="G36">
        <v>532</v>
      </c>
      <c r="H36" t="s">
        <v>98</v>
      </c>
      <c r="I36" t="s">
        <v>597</v>
      </c>
      <c r="J36" t="s">
        <v>700</v>
      </c>
    </row>
    <row r="37" spans="1:10" x14ac:dyDescent="0.3">
      <c r="A37" t="s">
        <v>701</v>
      </c>
      <c r="B37" t="s">
        <v>702</v>
      </c>
      <c r="C37" t="s">
        <v>93</v>
      </c>
      <c r="D37">
        <v>75000</v>
      </c>
      <c r="E37">
        <v>48000</v>
      </c>
      <c r="F37">
        <v>186</v>
      </c>
      <c r="G37">
        <v>743</v>
      </c>
      <c r="H37" t="s">
        <v>98</v>
      </c>
      <c r="I37" t="s">
        <v>597</v>
      </c>
      <c r="J37" t="s">
        <v>703</v>
      </c>
    </row>
    <row r="38" spans="1:10" x14ac:dyDescent="0.3">
      <c r="A38" t="s">
        <v>704</v>
      </c>
      <c r="B38" t="s">
        <v>705</v>
      </c>
      <c r="C38" t="s">
        <v>93</v>
      </c>
      <c r="D38">
        <v>165000</v>
      </c>
      <c r="E38">
        <v>106000</v>
      </c>
      <c r="F38">
        <v>152</v>
      </c>
      <c r="G38">
        <v>293</v>
      </c>
      <c r="H38" t="s">
        <v>94</v>
      </c>
      <c r="I38" t="s">
        <v>597</v>
      </c>
      <c r="J38" t="s">
        <v>706</v>
      </c>
    </row>
    <row r="39" spans="1:10" x14ac:dyDescent="0.3">
      <c r="A39" t="s">
        <v>707</v>
      </c>
      <c r="B39" t="s">
        <v>708</v>
      </c>
      <c r="C39" t="s">
        <v>93</v>
      </c>
      <c r="D39">
        <v>165000</v>
      </c>
      <c r="E39">
        <v>102000</v>
      </c>
      <c r="F39">
        <v>59</v>
      </c>
      <c r="G39">
        <v>882</v>
      </c>
      <c r="H39" t="s">
        <v>98</v>
      </c>
      <c r="I39" t="s">
        <v>597</v>
      </c>
      <c r="J39" t="s">
        <v>709</v>
      </c>
    </row>
    <row r="40" spans="1:10" x14ac:dyDescent="0.3">
      <c r="A40" t="s">
        <v>710</v>
      </c>
      <c r="B40" t="s">
        <v>711</v>
      </c>
      <c r="C40" t="s">
        <v>93</v>
      </c>
      <c r="D40">
        <v>22000</v>
      </c>
      <c r="E40">
        <v>14000</v>
      </c>
      <c r="F40">
        <v>158</v>
      </c>
      <c r="G40">
        <v>658</v>
      </c>
      <c r="H40" t="s">
        <v>98</v>
      </c>
      <c r="I40" t="s">
        <v>597</v>
      </c>
      <c r="J40" t="s">
        <v>712</v>
      </c>
    </row>
    <row r="41" spans="1:10" x14ac:dyDescent="0.3">
      <c r="A41" t="s">
        <v>713</v>
      </c>
      <c r="B41" t="s">
        <v>714</v>
      </c>
      <c r="C41" t="s">
        <v>93</v>
      </c>
      <c r="D41">
        <v>290000</v>
      </c>
      <c r="E41">
        <v>184000</v>
      </c>
      <c r="F41">
        <v>71</v>
      </c>
      <c r="G41">
        <v>184</v>
      </c>
      <c r="H41" t="s">
        <v>98</v>
      </c>
      <c r="I41" t="s">
        <v>597</v>
      </c>
      <c r="J41" t="s">
        <v>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6"/>
  <sheetViews>
    <sheetView tabSelected="1" topLeftCell="A26" workbookViewId="0">
      <selection activeCell="D36" sqref="D36"/>
    </sheetView>
  </sheetViews>
  <sheetFormatPr defaultRowHeight="14.4" x14ac:dyDescent="0.3"/>
  <cols>
    <col min="1" max="1" width="23.33203125" customWidth="1"/>
    <col min="2" max="3" width="18" customWidth="1"/>
    <col min="4" max="4" width="20" customWidth="1"/>
    <col min="5" max="5" width="18" customWidth="1"/>
    <col min="6" max="13" width="16" customWidth="1"/>
  </cols>
  <sheetData>
    <row r="1" spans="1:13" ht="18" x14ac:dyDescent="0.35">
      <c r="A1" s="14" t="s">
        <v>726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x14ac:dyDescent="0.3">
      <c r="A3" s="1" t="s">
        <v>729</v>
      </c>
      <c r="B3" s="1" t="s">
        <v>730</v>
      </c>
      <c r="C3" s="1" t="s">
        <v>716</v>
      </c>
      <c r="D3" s="1" t="s">
        <v>731</v>
      </c>
      <c r="E3" s="1" t="s">
        <v>732</v>
      </c>
      <c r="F3" s="1" t="s">
        <v>733</v>
      </c>
      <c r="G3" s="1" t="s">
        <v>717</v>
      </c>
      <c r="H3" s="1" t="s">
        <v>734</v>
      </c>
      <c r="I3" s="1" t="s">
        <v>735</v>
      </c>
      <c r="J3" s="1" t="s">
        <v>736</v>
      </c>
      <c r="K3" s="1" t="s">
        <v>737</v>
      </c>
      <c r="L3" s="1" t="s">
        <v>738</v>
      </c>
      <c r="M3" s="1" t="s">
        <v>718</v>
      </c>
    </row>
    <row r="4" spans="1:13" x14ac:dyDescent="0.3">
      <c r="A4" s="2" t="s">
        <v>9</v>
      </c>
      <c r="B4" s="2">
        <f>SUMIF(traffic!$B:$B,$A4,traffic!$C:$C)</f>
        <v>16369</v>
      </c>
      <c r="C4" s="2">
        <f>SUMIF(traffic!$B:$B,$A4,traffic!$D:$D)</f>
        <v>7168</v>
      </c>
      <c r="D4" s="2">
        <f>SUMIF(traffic!$B:$B,$A4,traffic!$E:$E)</f>
        <v>2130</v>
      </c>
      <c r="E4" s="2">
        <f>SUMIF(traffic!$B:$B,$A4,traffic!$F:$F)</f>
        <v>1272</v>
      </c>
      <c r="F4" s="2">
        <f>SUMIF(traffic!$B:$B,$A4,traffic!$G:$G)</f>
        <v>618</v>
      </c>
      <c r="G4" s="2">
        <f>SUMIF(traffic!$B:$B,$A4,traffic!$H:$H)</f>
        <v>267697000</v>
      </c>
      <c r="H4" s="2">
        <f t="shared" ref="H4:K9" si="0">C4/B4</f>
        <v>0.43790091025719347</v>
      </c>
      <c r="I4" s="2">
        <f t="shared" si="0"/>
        <v>0.29715401785714285</v>
      </c>
      <c r="J4" s="2">
        <f t="shared" si="0"/>
        <v>0.59718309859154928</v>
      </c>
      <c r="K4" s="2">
        <f t="shared" si="0"/>
        <v>0.48584905660377359</v>
      </c>
      <c r="L4" s="2">
        <f t="shared" ref="L4:L9" si="1">F4/B4</f>
        <v>3.7754291648848436E-2</v>
      </c>
      <c r="M4" s="2">
        <f t="shared" ref="M4:M9" si="2">G4/F4</f>
        <v>433166.66666666669</v>
      </c>
    </row>
    <row r="5" spans="1:13" x14ac:dyDescent="0.3">
      <c r="A5" s="2" t="s">
        <v>10</v>
      </c>
      <c r="B5" s="2">
        <f>SUMIF(traffic!$B:$B,$A5,traffic!$C:$C)</f>
        <v>13512</v>
      </c>
      <c r="C5" s="2">
        <f>SUMIF(traffic!$B:$B,$A5,traffic!$D:$D)</f>
        <v>6037</v>
      </c>
      <c r="D5" s="2">
        <f>SUMIF(traffic!$B:$B,$A5,traffic!$E:$E)</f>
        <v>1809</v>
      </c>
      <c r="E5" s="2">
        <f>SUMIF(traffic!$B:$B,$A5,traffic!$F:$F)</f>
        <v>1088</v>
      </c>
      <c r="F5" s="2">
        <f>SUMIF(traffic!$B:$B,$A5,traffic!$G:$G)</f>
        <v>415</v>
      </c>
      <c r="G5" s="2">
        <f>SUMIF(traffic!$B:$B,$A5,traffic!$H:$H)</f>
        <v>187261000</v>
      </c>
      <c r="H5" s="2">
        <f t="shared" si="0"/>
        <v>0.44678804026050917</v>
      </c>
      <c r="I5" s="2">
        <f t="shared" si="0"/>
        <v>0.29965214510518468</v>
      </c>
      <c r="J5" s="2">
        <f t="shared" si="0"/>
        <v>0.6014372581536761</v>
      </c>
      <c r="K5" s="2">
        <f t="shared" si="0"/>
        <v>0.38143382352941174</v>
      </c>
      <c r="L5" s="2">
        <f t="shared" si="1"/>
        <v>3.0713439905269389E-2</v>
      </c>
      <c r="M5" s="2">
        <f t="shared" si="2"/>
        <v>451231.32530120481</v>
      </c>
    </row>
    <row r="6" spans="1:13" x14ac:dyDescent="0.3">
      <c r="A6" s="2" t="s">
        <v>11</v>
      </c>
      <c r="B6" s="2">
        <f>SUMIF(traffic!$B:$B,$A6,traffic!$C:$C)</f>
        <v>19693</v>
      </c>
      <c r="C6" s="2">
        <f>SUMIF(traffic!$B:$B,$A6,traffic!$D:$D)</f>
        <v>5570</v>
      </c>
      <c r="D6" s="2">
        <f>SUMIF(traffic!$B:$B,$A6,traffic!$E:$E)</f>
        <v>1707</v>
      </c>
      <c r="E6" s="2">
        <f>SUMIF(traffic!$B:$B,$A6,traffic!$F:$F)</f>
        <v>1012</v>
      </c>
      <c r="F6" s="2">
        <f>SUMIF(traffic!$B:$B,$A6,traffic!$G:$G)</f>
        <v>279</v>
      </c>
      <c r="G6" s="2">
        <f>SUMIF(traffic!$B:$B,$A6,traffic!$H:$H)</f>
        <v>127702000</v>
      </c>
      <c r="H6" s="2">
        <f t="shared" si="0"/>
        <v>0.28284161884933734</v>
      </c>
      <c r="I6" s="2">
        <f t="shared" si="0"/>
        <v>0.30646319569120289</v>
      </c>
      <c r="J6" s="2">
        <f t="shared" si="0"/>
        <v>0.59285295840656127</v>
      </c>
      <c r="K6" s="2">
        <f t="shared" si="0"/>
        <v>0.2756916996047431</v>
      </c>
      <c r="L6" s="2">
        <f t="shared" si="1"/>
        <v>1.4167470674859087E-2</v>
      </c>
      <c r="M6" s="2">
        <f t="shared" si="2"/>
        <v>457713.26164874551</v>
      </c>
    </row>
    <row r="7" spans="1:13" x14ac:dyDescent="0.3">
      <c r="A7" s="2" t="s">
        <v>12</v>
      </c>
      <c r="B7" s="2">
        <f>SUMIF(traffic!$B:$B,$A7,traffic!$C:$C)</f>
        <v>6866</v>
      </c>
      <c r="C7" s="2">
        <f>SUMIF(traffic!$B:$B,$A7,traffic!$D:$D)</f>
        <v>3010</v>
      </c>
      <c r="D7" s="2">
        <f>SUMIF(traffic!$B:$B,$A7,traffic!$E:$E)</f>
        <v>916</v>
      </c>
      <c r="E7" s="2">
        <f>SUMIF(traffic!$B:$B,$A7,traffic!$F:$F)</f>
        <v>547</v>
      </c>
      <c r="F7" s="2">
        <f>SUMIF(traffic!$B:$B,$A7,traffic!$G:$G)</f>
        <v>74</v>
      </c>
      <c r="G7" s="2">
        <f>SUMIF(traffic!$B:$B,$A7,traffic!$H:$H)</f>
        <v>34165000</v>
      </c>
      <c r="H7" s="2">
        <f t="shared" si="0"/>
        <v>0.43839207690066995</v>
      </c>
      <c r="I7" s="2">
        <f t="shared" si="0"/>
        <v>0.3043189368770764</v>
      </c>
      <c r="J7" s="2">
        <f t="shared" si="0"/>
        <v>0.59716157205240172</v>
      </c>
      <c r="K7" s="2">
        <f t="shared" si="0"/>
        <v>0.13528336380255943</v>
      </c>
      <c r="L7" s="2">
        <f t="shared" si="1"/>
        <v>1.0777745412175939E-2</v>
      </c>
      <c r="M7" s="2">
        <f t="shared" si="2"/>
        <v>461689.18918918917</v>
      </c>
    </row>
    <row r="8" spans="1:13" x14ac:dyDescent="0.3">
      <c r="A8" s="2" t="s">
        <v>13</v>
      </c>
      <c r="B8" s="2">
        <f>SUMIF(traffic!$B:$B,$A8,traffic!$C:$C)</f>
        <v>5344</v>
      </c>
      <c r="C8" s="2">
        <f>SUMIF(traffic!$B:$B,$A8,traffic!$D:$D)</f>
        <v>3356</v>
      </c>
      <c r="D8" s="2">
        <f>SUMIF(traffic!$B:$B,$A8,traffic!$E:$E)</f>
        <v>1012</v>
      </c>
      <c r="E8" s="2">
        <f>SUMIF(traffic!$B:$B,$A8,traffic!$F:$F)</f>
        <v>616</v>
      </c>
      <c r="F8" s="2">
        <f>SUMIF(traffic!$B:$B,$A8,traffic!$G:$G)</f>
        <v>274</v>
      </c>
      <c r="G8" s="2">
        <f>SUMIF(traffic!$B:$B,$A8,traffic!$H:$H)</f>
        <v>123714000</v>
      </c>
      <c r="H8" s="2">
        <f t="shared" si="0"/>
        <v>0.62799401197604787</v>
      </c>
      <c r="I8" s="2">
        <f t="shared" si="0"/>
        <v>0.30154946364719903</v>
      </c>
      <c r="J8" s="2">
        <f t="shared" si="0"/>
        <v>0.60869565217391308</v>
      </c>
      <c r="K8" s="2">
        <f t="shared" si="0"/>
        <v>0.44480519480519481</v>
      </c>
      <c r="L8" s="2">
        <f t="shared" si="1"/>
        <v>5.1272455089820361E-2</v>
      </c>
      <c r="M8" s="2">
        <f t="shared" si="2"/>
        <v>451510.94890510949</v>
      </c>
    </row>
    <row r="9" spans="1:13" x14ac:dyDescent="0.3">
      <c r="A9" s="3" t="s">
        <v>739</v>
      </c>
      <c r="B9" s="3">
        <f t="shared" ref="B9:G9" si="3">SUM(B4:B8)</f>
        <v>61784</v>
      </c>
      <c r="C9" s="3">
        <f t="shared" si="3"/>
        <v>25141</v>
      </c>
      <c r="D9" s="3">
        <f t="shared" si="3"/>
        <v>7574</v>
      </c>
      <c r="E9" s="3">
        <f t="shared" si="3"/>
        <v>4535</v>
      </c>
      <c r="F9" s="3">
        <f t="shared" si="3"/>
        <v>1660</v>
      </c>
      <c r="G9" s="3">
        <f t="shared" si="3"/>
        <v>740539000</v>
      </c>
      <c r="H9" s="2">
        <f t="shared" si="0"/>
        <v>0.40691764858215718</v>
      </c>
      <c r="I9" s="2">
        <f t="shared" si="0"/>
        <v>0.30126088858836164</v>
      </c>
      <c r="J9" s="2">
        <f t="shared" si="0"/>
        <v>0.59875891206759968</v>
      </c>
      <c r="K9" s="2">
        <f t="shared" si="0"/>
        <v>0.36604189636163176</v>
      </c>
      <c r="L9" s="2">
        <f t="shared" si="1"/>
        <v>2.6867797488022788E-2</v>
      </c>
      <c r="M9" s="2">
        <f t="shared" si="2"/>
        <v>446107.8313253012</v>
      </c>
    </row>
    <row r="11" spans="1:13" ht="18" x14ac:dyDescent="0.35">
      <c r="A11" s="14" t="s">
        <v>728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3" spans="1:13" ht="28.8" x14ac:dyDescent="0.3">
      <c r="A13" s="1" t="s">
        <v>740</v>
      </c>
      <c r="B13" s="1" t="s">
        <v>741</v>
      </c>
      <c r="C13" s="1" t="s">
        <v>742</v>
      </c>
      <c r="D13" s="1" t="s">
        <v>743</v>
      </c>
      <c r="E13" s="1" t="s">
        <v>744</v>
      </c>
      <c r="F13" s="1" t="s">
        <v>745</v>
      </c>
      <c r="G13" s="1" t="s">
        <v>746</v>
      </c>
      <c r="H13" s="1" t="s">
        <v>747</v>
      </c>
    </row>
    <row r="14" spans="1:13" x14ac:dyDescent="0.3">
      <c r="A14" t="s">
        <v>748</v>
      </c>
      <c r="B14" s="2">
        <f>B9</f>
        <v>61784</v>
      </c>
      <c r="C14" s="4">
        <f>H9</f>
        <v>0.40691764858215718</v>
      </c>
      <c r="D14" s="2" t="s">
        <v>752</v>
      </c>
      <c r="E14" s="4">
        <v>0.04</v>
      </c>
      <c r="F14" s="5">
        <f>B14*E14*I9*J9*K9</f>
        <v>163.17798019171872</v>
      </c>
      <c r="G14" s="5">
        <v>500000</v>
      </c>
      <c r="H14" s="5">
        <f>F14*M9-G14</f>
        <v>72294974.863370597</v>
      </c>
    </row>
    <row r="15" spans="1:13" x14ac:dyDescent="0.3">
      <c r="A15" t="s">
        <v>749</v>
      </c>
      <c r="B15" s="2">
        <f>C9</f>
        <v>25141</v>
      </c>
      <c r="C15" s="4">
        <f>I9</f>
        <v>0.30126088858836164</v>
      </c>
      <c r="D15" s="2" t="s">
        <v>753</v>
      </c>
      <c r="E15" s="4">
        <v>0.04</v>
      </c>
      <c r="F15" s="5">
        <f>B15*E15*J9*K9</f>
        <v>220.40697121732242</v>
      </c>
      <c r="G15" s="5">
        <v>300000</v>
      </c>
      <c r="H15" s="5">
        <f>F15*M9-G15</f>
        <v>98025275.938737795</v>
      </c>
    </row>
    <row r="16" spans="1:13" x14ac:dyDescent="0.3">
      <c r="A16" s="2" t="s">
        <v>750</v>
      </c>
      <c r="B16" s="2">
        <f>D9</f>
        <v>7574</v>
      </c>
      <c r="C16" s="4">
        <f>J9</f>
        <v>0.59875891206759968</v>
      </c>
      <c r="D16" s="2" t="s">
        <v>754</v>
      </c>
      <c r="E16" s="4">
        <v>0.05</v>
      </c>
      <c r="F16" s="5">
        <f>B16*E16*K9</f>
        <v>138.62006615214997</v>
      </c>
      <c r="G16" s="5">
        <v>200000</v>
      </c>
      <c r="H16" s="5">
        <f>F16*M9-G16</f>
        <v>61639497.089305416</v>
      </c>
    </row>
    <row r="17" spans="1:11" x14ac:dyDescent="0.3">
      <c r="A17" s="2" t="s">
        <v>751</v>
      </c>
      <c r="B17" s="2">
        <f>E9</f>
        <v>4535</v>
      </c>
      <c r="C17" s="4">
        <f>K9</f>
        <v>0.36604189636163176</v>
      </c>
      <c r="D17" s="2" t="s">
        <v>755</v>
      </c>
      <c r="E17" s="4">
        <v>0.05</v>
      </c>
      <c r="F17" s="5">
        <f>B17*E17</f>
        <v>226.75</v>
      </c>
      <c r="G17" s="5">
        <v>100000</v>
      </c>
      <c r="H17" s="5">
        <f>F17*M9-G17</f>
        <v>101054950.75301205</v>
      </c>
    </row>
    <row r="19" spans="1:11" ht="18" x14ac:dyDescent="0.35">
      <c r="A19" s="14" t="s">
        <v>727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1" spans="1:11" ht="15.6" x14ac:dyDescent="0.3">
      <c r="A21" s="16" t="s">
        <v>756</v>
      </c>
    </row>
    <row r="22" spans="1:11" x14ac:dyDescent="0.3">
      <c r="A22" s="17" t="s">
        <v>757</v>
      </c>
      <c r="B22" s="17" t="s">
        <v>758</v>
      </c>
      <c r="C22" s="17" t="s">
        <v>759</v>
      </c>
      <c r="D22" s="17" t="s">
        <v>760</v>
      </c>
      <c r="E22" s="1" t="s">
        <v>719</v>
      </c>
      <c r="F22" s="17" t="s">
        <v>761</v>
      </c>
    </row>
    <row r="23" spans="1:11" x14ac:dyDescent="0.3">
      <c r="A23" s="2" t="s">
        <v>80</v>
      </c>
      <c r="B23" s="2" t="s">
        <v>10</v>
      </c>
      <c r="C23" s="5">
        <f>SUMPRODUCT((ad_spend!$C$2:$C$241=A23)*ad_spend!$F$2:$F$241)</f>
        <v>149645000</v>
      </c>
      <c r="D23" s="5">
        <f>SUMPRODUCT((ad_spend!$C$2:$C$241=A23)*ad_spend!$H$2:$H$241)</f>
        <v>1492429000</v>
      </c>
      <c r="E23" s="7">
        <f>IF(C23=0,"",D23/C23)</f>
        <v>9.9731297403855788</v>
      </c>
      <c r="F23" s="2" t="str">
        <f>IF(E23&gt;=3,"Tot",IF(E23&gt;=1,"Chap nhan","CAN TAT"))</f>
        <v>Tot</v>
      </c>
    </row>
    <row r="24" spans="1:11" x14ac:dyDescent="0.3">
      <c r="A24" s="2" t="s">
        <v>81</v>
      </c>
      <c r="B24" s="2" t="s">
        <v>10</v>
      </c>
      <c r="C24" s="5">
        <f>SUMPRODUCT((ad_spend!$C$2:$C$241=A24)*ad_spend!$F$2:$F$241)</f>
        <v>85747000</v>
      </c>
      <c r="D24" s="5">
        <f>SUMPRODUCT((ad_spend!$C$2:$C$241=A24)*ad_spend!$H$2:$H$241)</f>
        <v>260240000</v>
      </c>
      <c r="E24" s="7">
        <f>IF(C24=0,"",D24/C24)</f>
        <v>3.0349749845475644</v>
      </c>
      <c r="F24" s="2" t="str">
        <f>IF(E24&gt;=3,"Tot",IF(E24&gt;=1,"Chap nhan","CAN TAT"))</f>
        <v>Tot</v>
      </c>
    </row>
    <row r="25" spans="1:11" x14ac:dyDescent="0.3">
      <c r="A25" s="2" t="s">
        <v>82</v>
      </c>
      <c r="B25" s="2" t="s">
        <v>11</v>
      </c>
      <c r="C25" s="5">
        <f>SUMPRODUCT((ad_spend!$C$2:$C$241=A25)*ad_spend!$F$2:$F$241)</f>
        <v>10646000</v>
      </c>
      <c r="D25" s="5">
        <f>SUMPRODUCT((ad_spend!$C$2:$C$241=A25)*ad_spend!$H$2:$H$241)</f>
        <v>32913000</v>
      </c>
      <c r="E25" s="7">
        <f>IF(C25=0,"",D25/C25)</f>
        <v>3.0915836934059739</v>
      </c>
      <c r="F25" s="2" t="str">
        <f>IF(E25&gt;=3,"Tot",IF(E25&gt;=1,"Chap nhan","CAN TAT"))</f>
        <v>Tot</v>
      </c>
    </row>
    <row r="26" spans="1:11" x14ac:dyDescent="0.3">
      <c r="A26" s="2" t="s">
        <v>83</v>
      </c>
      <c r="B26" s="2" t="s">
        <v>11</v>
      </c>
      <c r="C26" s="5">
        <f>SUMPRODUCT((ad_spend!$C$2:$C$241=A26)*ad_spend!$F$2:$F$241)</f>
        <v>45208000</v>
      </c>
      <c r="D26" s="5">
        <f>SUMPRODUCT((ad_spend!$C$2:$C$241=A26)*ad_spend!$H$2:$H$241)</f>
        <v>643328000</v>
      </c>
      <c r="E26" s="7">
        <f>IF(C26=0,"",D26/C26)</f>
        <v>14.230401698814369</v>
      </c>
      <c r="F26" s="2" t="str">
        <f>IF(E26&gt;=3,"Tot",IF(E26&gt;=1,"Chap nhan","CAN TAT"))</f>
        <v>Tot</v>
      </c>
    </row>
    <row r="28" spans="1:11" ht="15.6" x14ac:dyDescent="0.3">
      <c r="A28" s="16" t="s">
        <v>762</v>
      </c>
    </row>
    <row r="29" spans="1:11" x14ac:dyDescent="0.3">
      <c r="A29" s="17" t="s">
        <v>758</v>
      </c>
      <c r="B29" s="17" t="s">
        <v>763</v>
      </c>
      <c r="C29" s="17" t="s">
        <v>764</v>
      </c>
      <c r="D29" s="1" t="s">
        <v>720</v>
      </c>
      <c r="E29" s="17" t="s">
        <v>765</v>
      </c>
    </row>
    <row r="30" spans="1:11" x14ac:dyDescent="0.3">
      <c r="A30" s="2" t="s">
        <v>10</v>
      </c>
      <c r="B30" s="5">
        <f>SUMPRODUCT((ad_spend!$B$2:$B$241="paid_search")*ad_spend!$F$2:$F$241)</f>
        <v>235392000</v>
      </c>
      <c r="C30" s="2">
        <f>SUMPRODUCT((ad_spend!$B$2:$B$241="paid_search")*ad_spend!$G$2:$G$241)</f>
        <v>3778</v>
      </c>
      <c r="D30" s="5">
        <f>IF(C30=0,"",B30/C30)</f>
        <v>62305.982001058765</v>
      </c>
      <c r="E30" s="2"/>
    </row>
    <row r="31" spans="1:11" x14ac:dyDescent="0.3">
      <c r="A31" s="2" t="s">
        <v>11</v>
      </c>
      <c r="B31" s="5">
        <f>SUMPRODUCT((ad_spend!$B$2:$B$241="social_paid")*ad_spend!$F$2:$F$241)</f>
        <v>55854000</v>
      </c>
      <c r="C31" s="2">
        <f>SUMPRODUCT((ad_spend!$B$2:$B$241="social_paid")*ad_spend!$G$2:$G$241)</f>
        <v>1409</v>
      </c>
      <c r="D31" s="5">
        <f>IF(C31=0,"",B31/C31)</f>
        <v>39640.88005677786</v>
      </c>
      <c r="E31" s="2"/>
    </row>
    <row r="32" spans="1:11" x14ac:dyDescent="0.3">
      <c r="A32" s="2" t="s">
        <v>721</v>
      </c>
      <c r="B32" s="2"/>
      <c r="C32" s="2"/>
      <c r="D32" s="2"/>
      <c r="E32" s="18" t="s">
        <v>766</v>
      </c>
    </row>
    <row r="34" spans="1:11" ht="15.6" x14ac:dyDescent="0.3">
      <c r="A34" s="16" t="s">
        <v>767</v>
      </c>
    </row>
    <row r="35" spans="1:11" x14ac:dyDescent="0.3">
      <c r="A35" t="s">
        <v>768</v>
      </c>
      <c r="B35" s="8">
        <f>SUM(customers!$D$2:$D$301)/SUM(customers!$C$2:$C$301)</f>
        <v>434252.43445692887</v>
      </c>
    </row>
    <row r="36" spans="1:11" x14ac:dyDescent="0.3">
      <c r="A36" t="s">
        <v>769</v>
      </c>
      <c r="B36" s="9">
        <f>SUM(customers!$C$2:$C$301)/300</f>
        <v>4.45</v>
      </c>
    </row>
    <row r="37" spans="1:11" x14ac:dyDescent="0.3">
      <c r="A37" t="s">
        <v>770</v>
      </c>
      <c r="B37">
        <v>1.5</v>
      </c>
      <c r="C37" t="s">
        <v>789</v>
      </c>
    </row>
    <row r="38" spans="1:11" x14ac:dyDescent="0.3">
      <c r="A38" t="s">
        <v>771</v>
      </c>
      <c r="B38" s="10">
        <f>SUMPRODUCT(((products!$D$2:$D$41-products!$E$2:$E$41)/products!$D$2:$D$41)*products!$D$2:$D$41)/SUM(products!$D$2:$D$41)</f>
        <v>0.34549581005586594</v>
      </c>
    </row>
    <row r="39" spans="1:11" ht="15.6" x14ac:dyDescent="0.3">
      <c r="A39" t="s">
        <v>772</v>
      </c>
      <c r="B39" s="11">
        <f>B35*B36*B37*B38</f>
        <v>1001466.2473812849</v>
      </c>
    </row>
    <row r="41" spans="1:11" ht="15.6" x14ac:dyDescent="0.3">
      <c r="A41" s="6" t="s">
        <v>722</v>
      </c>
    </row>
    <row r="42" spans="1:11" ht="28.8" x14ac:dyDescent="0.3">
      <c r="A42" s="17" t="s">
        <v>758</v>
      </c>
      <c r="B42" s="1" t="s">
        <v>720</v>
      </c>
      <c r="C42" s="1" t="s">
        <v>723</v>
      </c>
      <c r="D42" s="17" t="s">
        <v>773</v>
      </c>
      <c r="E42" s="17" t="s">
        <v>774</v>
      </c>
    </row>
    <row r="43" spans="1:11" x14ac:dyDescent="0.3">
      <c r="A43" s="2" t="s">
        <v>10</v>
      </c>
      <c r="B43" s="5">
        <f>D30</f>
        <v>62305.982001058765</v>
      </c>
      <c r="C43" s="5">
        <f>B39</f>
        <v>1001466.2473812849</v>
      </c>
      <c r="D43" s="5">
        <f>C43-B43</f>
        <v>939160.26538022619</v>
      </c>
      <c r="E43" s="2" t="str">
        <f>IF(B43&gt;C43, "LỖ - CAC &gt; LTV, dừng đổ tiền", "CÓ LỜI - CAC &lt; LTV")</f>
        <v>CÓ LỜI - CAC &lt; LTV</v>
      </c>
    </row>
    <row r="44" spans="1:11" x14ac:dyDescent="0.3">
      <c r="A44" s="2" t="s">
        <v>11</v>
      </c>
      <c r="B44" s="5">
        <f>D31</f>
        <v>39640.88005677786</v>
      </c>
      <c r="C44" s="5">
        <f>B39</f>
        <v>1001466.2473812849</v>
      </c>
      <c r="D44" s="5">
        <f>C44-B44</f>
        <v>961825.3673245071</v>
      </c>
      <c r="E44" s="2" t="str">
        <f>IF(B44&gt;C44,"LO - CAC &gt; LTV, dừng đổ tiền","CÓ LỜI - CAC &lt; LTV")</f>
        <v>CÓ LỜI - CAC &lt; LTV</v>
      </c>
    </row>
    <row r="46" spans="1:11" ht="18" x14ac:dyDescent="0.35">
      <c r="A46" s="19" t="s">
        <v>775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8" spans="1:11" x14ac:dyDescent="0.3">
      <c r="A48" t="s">
        <v>776</v>
      </c>
      <c r="B48" s="8">
        <f>MEDIAN(customers!$D$2:$D$301)</f>
        <v>1340500</v>
      </c>
    </row>
    <row r="49" spans="1:5" x14ac:dyDescent="0.3">
      <c r="A49" t="s">
        <v>777</v>
      </c>
      <c r="B49">
        <f>MEDIAN(customers!$C$2:$C$301)</f>
        <v>3</v>
      </c>
    </row>
    <row r="51" spans="1:5" x14ac:dyDescent="0.3">
      <c r="A51" s="17" t="s">
        <v>778</v>
      </c>
      <c r="B51" s="17" t="s">
        <v>779</v>
      </c>
      <c r="C51" s="17" t="s">
        <v>780</v>
      </c>
      <c r="D51" s="17" t="s">
        <v>724</v>
      </c>
      <c r="E51" s="17" t="s">
        <v>781</v>
      </c>
    </row>
    <row r="52" spans="1:5" x14ac:dyDescent="0.3">
      <c r="A52" s="2" t="s">
        <v>725</v>
      </c>
      <c r="B52" s="2">
        <f>COUNTIFS(customers!$D$2:$D$301,"&gt;="&amp;$B$48,customers!$C$2:$C$301,"&gt;="&amp;$B$49)</f>
        <v>147</v>
      </c>
      <c r="C52" s="5">
        <f>SUMPRODUCT((customers!$D$2:$D$301&gt;=$B$48)*(customers!$C$2:$C$301&gt;=$B$49)*customers!$D$2:$D$301)</f>
        <v>471561000</v>
      </c>
      <c r="D52" s="5">
        <f>IF(B52=0,"",C52/B52)</f>
        <v>3207897.9591836734</v>
      </c>
      <c r="E52" s="2" t="s">
        <v>785</v>
      </c>
    </row>
    <row r="53" spans="1:5" x14ac:dyDescent="0.3">
      <c r="A53" s="2" t="s">
        <v>782</v>
      </c>
      <c r="B53" s="2">
        <f>COUNTIFS(customers!$D$2:$D$301,"&gt;="&amp;$B$48,customers!$C$2:$C$301,"&lt;"&amp;$B$49)</f>
        <v>3</v>
      </c>
      <c r="C53" s="5">
        <f>SUMPRODUCT((customers!$D$2:$D$301&gt;=$B$48)*(customers!$C$2:$C$301&lt;$B$49)*customers!$D$2:$D$301)</f>
        <v>4320000</v>
      </c>
      <c r="D53" s="5">
        <f>IF(B53=0,"",C53/B53)</f>
        <v>1440000</v>
      </c>
      <c r="E53" s="2" t="s">
        <v>786</v>
      </c>
    </row>
    <row r="54" spans="1:5" x14ac:dyDescent="0.3">
      <c r="A54" s="2" t="s">
        <v>784</v>
      </c>
      <c r="B54" s="2">
        <f>COUNTIFS(customers!$D$2:$D$301,"&lt;"&amp;$B$48,customers!$C$2:$C$301,"&gt;="&amp;$B$49)</f>
        <v>32</v>
      </c>
      <c r="C54" s="5">
        <f>SUMPRODUCT((customers!$D$2:$D$301&lt;$B$48)*(customers!$C$2:$C$301&gt;=$B$49)*customers!$D$2:$D$301)</f>
        <v>33139000</v>
      </c>
      <c r="D54" s="5">
        <f>IF(B54=0,"",C54/B54)</f>
        <v>1035593.75</v>
      </c>
      <c r="E54" s="2" t="s">
        <v>787</v>
      </c>
    </row>
    <row r="55" spans="1:5" x14ac:dyDescent="0.3">
      <c r="A55" s="2" t="s">
        <v>783</v>
      </c>
      <c r="B55" s="2">
        <f>COUNTIFS(customers!$D$2:$D$301,"&lt;"&amp;$B$48,customers!$C$2:$C$301,"&lt;"&amp;$B$49)</f>
        <v>118</v>
      </c>
      <c r="C55" s="5">
        <f>SUMPRODUCT((customers!$D$2:$D$301&lt;$B$48)*(customers!$C$2:$C$301&lt;$B$49)*customers!$D$2:$D$301)</f>
        <v>70707000</v>
      </c>
      <c r="D55" s="5">
        <f>IF(B55=0,"",C55/B55)</f>
        <v>599211.86440677964</v>
      </c>
      <c r="E55" s="2" t="s">
        <v>788</v>
      </c>
    </row>
    <row r="56" spans="1:5" x14ac:dyDescent="0.3">
      <c r="A56" s="20" t="s">
        <v>739</v>
      </c>
      <c r="B56" s="12">
        <f>SUM(B52:B55)</f>
        <v>300</v>
      </c>
      <c r="C56" s="13">
        <f>SUM(C52:C55)</f>
        <v>579727000</v>
      </c>
    </row>
  </sheetData>
  <mergeCells count="4">
    <mergeCell ref="A19:K19"/>
    <mergeCell ref="A11:K11"/>
    <mergeCell ref="A46:K46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traffic</vt:lpstr>
      <vt:lpstr>ad_spend</vt:lpstr>
      <vt:lpstr>customers</vt:lpstr>
      <vt:lpstr>products</vt:lpstr>
      <vt:lpstr>Tong_hop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Luan</cp:lastModifiedBy>
  <dcterms:created xsi:type="dcterms:W3CDTF">2026-09-11T06:29:51Z</dcterms:created>
  <dcterms:modified xsi:type="dcterms:W3CDTF">2026-09-12T10:02:51Z</dcterms:modified>
</cp:coreProperties>
</file>