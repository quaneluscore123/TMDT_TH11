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Dinh" sheetId="1" state="visible" r:id="rId1"/>
    <sheet name="SanPham" sheetId="2" state="visible" r:id="rId2"/>
    <sheet name="LT4_ChiPhi" sheetId="3" state="visible" r:id="rId3"/>
    <sheet name="LT4_DoiSoat" sheetId="4" state="visible" r:id="rId4"/>
    <sheet name="LT4_QuyTacRuiRo" sheetId="5" state="visible" r:id="rId5"/>
    <sheet name="LT6_NguongChi" sheetId="6" state="visible" r:id="rId6"/>
    <sheet name="LT6_3TinhHuong" sheetId="7" state="visible" r:id="rId7"/>
    <sheet name="LT7_RuiRo" sheetId="8" state="visible" r:id="rId8"/>
    <sheet name="LT10_Log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đ&quot;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7F7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164" fontId="3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70" customWidth="1" min="4" max="4"/>
  </cols>
  <sheetData>
    <row r="1">
      <c r="A1" s="1" t="inlineStr">
        <is>
          <t>Giả định dùng chung (ô vàng: đổi được, mọi sheet tự tính lại)</t>
        </is>
      </c>
      <c r="B1" s="1" t="inlineStr">
        <is>
          <t>Giá trị</t>
        </is>
      </c>
      <c r="C1" s="1" t="inlineStr">
        <is>
          <t>Đơn vị</t>
        </is>
      </c>
      <c r="D1" s="1" t="inlineStr">
        <is>
          <t>Nguồn / căn cứ</t>
        </is>
      </c>
    </row>
    <row r="2">
      <c r="A2" t="inlineStr">
        <is>
          <t>Giá trị đơn trung bình</t>
        </is>
      </c>
      <c r="B2" s="2" t="n">
        <v>434252</v>
      </c>
      <c r="C2" t="inlineStr">
        <is>
          <t>đ</t>
        </is>
      </c>
      <c r="D2" t="inlineStr">
        <is>
          <t>Dữ liệu mẫu: 579.727.000đ / 1.335 đơn (bao-cao-buoi-13.md mục 3.2)</t>
        </is>
      </c>
    </row>
    <row r="3">
      <c r="A3" t="inlineStr">
        <is>
          <t>Tỷ lệ lợi nhuận gộp bình quân có trọng số</t>
        </is>
      </c>
      <c r="B3" s="3" t="n">
        <v>0.3423</v>
      </c>
      <c r="C3" t="inlineStr"/>
      <c r="D3" t="inlineStr">
        <is>
          <t>Báo cáo buổi 13 mục 3.1</t>
        </is>
      </c>
    </row>
    <row r="4">
      <c r="A4" t="inlineStr">
        <is>
          <t>Phí vận chuyển cửa hàng chịu cho một đơn (bình quân 5 vùng, đơn &gt; 1 kg)</t>
        </is>
      </c>
      <c r="B4" s="2" t="n">
        <v>31600</v>
      </c>
      <c r="C4" t="inlineStr">
        <is>
          <t>đ</t>
        </is>
      </c>
      <c r="D4" t="inlineStr">
        <is>
          <t>Trung bình phí &gt; 1 kg của 5 vùng trong setup-shipping.php; GIẢ ĐỊNH phí hợp đồng = phí niêm yết</t>
        </is>
      </c>
    </row>
    <row r="5">
      <c r="A5" t="inlineStr">
        <is>
          <t>Ngưỡng miễn phí vận chuyển</t>
        </is>
      </c>
      <c r="B5" s="2" t="n">
        <v>499000</v>
      </c>
      <c r="C5" t="inlineStr">
        <is>
          <t>đ</t>
        </is>
      </c>
      <c r="D5" t="inlineStr">
        <is>
          <t>nhom25-shipping.php</t>
        </is>
      </c>
    </row>
    <row r="6">
      <c r="A6" t="inlineStr">
        <is>
          <t>Chi phí đóng gói một đơn</t>
        </is>
      </c>
      <c r="B6" s="2" t="n">
        <v>5000</v>
      </c>
      <c r="C6" t="inlineStr">
        <is>
          <t>đ</t>
        </is>
      </c>
      <c r="D6" t="inlineStr">
        <is>
          <t>GIẢ ĐỊNH - nhóm cập nhật theo báo giá hộp, băng keo</t>
        </is>
      </c>
    </row>
    <row r="7">
      <c r="A7" t="inlineStr">
        <is>
          <t>Tỷ lệ đơn bị hoàn</t>
        </is>
      </c>
      <c r="B7" s="3" t="n">
        <v>0.03</v>
      </c>
      <c r="C7" t="inlineStr"/>
      <c r="D7" t="inlineStr">
        <is>
          <t>GIẢ ĐỊNH - chưa có dữ liệu thật</t>
        </is>
      </c>
    </row>
    <row r="8">
      <c r="A8" t="inlineStr">
        <is>
          <t>Chi phí cho một đơn hoàn (ship 2 chiều + xử lý)</t>
        </is>
      </c>
      <c r="B8" s="2" t="n">
        <v>68200</v>
      </c>
      <c r="C8" t="inlineStr">
        <is>
          <t>đ</t>
        </is>
      </c>
      <c r="D8">
        <f> 2 × phí ship + đóng gói</f>
        <v/>
      </c>
    </row>
    <row r="9">
      <c r="A9" t="inlineStr">
        <is>
          <t>Giá trị vòng đời khách (LTV)</t>
        </is>
      </c>
      <c r="B9" s="2" t="n">
        <v>992329</v>
      </c>
      <c r="C9" t="inlineStr">
        <is>
          <t>đ</t>
        </is>
      </c>
      <c r="D9" t="inlineStr">
        <is>
          <t>Báo cáo buổi 13 mục 3.2 (giả định 1,5 năm gắn bó)</t>
        </is>
      </c>
    </row>
    <row r="10">
      <c r="A10" t="inlineStr">
        <is>
          <t>Tỷ lệ LTV / CAC tối thiểu</t>
        </is>
      </c>
      <c r="B10" s="4" t="n">
        <v>3</v>
      </c>
      <c r="C10" t="inlineStr">
        <is>
          <t>lần</t>
        </is>
      </c>
      <c r="D10" t="inlineStr">
        <is>
          <t>Lý thuyết buổi 5, slide 30</t>
        </is>
      </c>
    </row>
    <row r="11">
      <c r="A11" t="inlineStr">
        <is>
          <t>Tỷ lệ chuyển đổi phiên → đơn: tìm kiếm trả phí</t>
        </is>
      </c>
      <c r="B11" s="5" t="n">
        <v>0.0307</v>
      </c>
      <c r="C11" t="inlineStr"/>
      <c r="D11" t="inlineStr">
        <is>
          <t>Dữ liệu mẫu, báo cáo buổi 13 mục 2.2</t>
        </is>
      </c>
    </row>
    <row r="12">
      <c r="A12" t="inlineStr">
        <is>
          <t>Tỷ lệ chuyển đổi phiên → đơn: quảng cáo MXH</t>
        </is>
      </c>
      <c r="B12" s="5" t="n">
        <v>0.0142</v>
      </c>
      <c r="C12" t="inlineStr"/>
      <c r="D12" t="inlineStr">
        <is>
          <t>Dữ liệu mẫu, báo cáo buổi 13 mục 2.2</t>
        </is>
      </c>
    </row>
    <row r="13">
      <c r="A13" t="inlineStr">
        <is>
          <t>CPC tham khảo giữa khoảng: tìm kiếm</t>
        </is>
      </c>
      <c r="B13" s="2" t="n">
        <v>3186</v>
      </c>
      <c r="C13" t="inlineStr">
        <is>
          <t>đ</t>
        </is>
      </c>
      <c r="D13" t="inlineStr">
        <is>
          <t>Dữ liệu mẫu ad_spend.csv (nền tảng báo). CẦN tra Google Keyword Planner, ghi ngày tra</t>
        </is>
      </c>
    </row>
    <row r="14">
      <c r="A14" t="inlineStr">
        <is>
          <t>CPC tham khảo giữa khoảng: MXH</t>
        </is>
      </c>
      <c r="B14" s="2" t="n">
        <v>1396</v>
      </c>
      <c r="C14" t="inlineStr">
        <is>
          <t>đ</t>
        </is>
      </c>
      <c r="D14" t="inlineStr">
        <is>
          <t>Dữ liệu mẫu ad_spend.csv (nền tảng báo). CẦN tra công cụ của nền tảng, ghi ngày tra</t>
        </is>
      </c>
    </row>
    <row r="15">
      <c r="A15" t="inlineStr">
        <is>
          <t>Biên độ khoảng CPC (± so với giữa khoảng)</t>
        </is>
      </c>
      <c r="B15" s="3" t="n">
        <v>0.3</v>
      </c>
      <c r="C15" t="inlineStr"/>
      <c r="D15" t="inlineStr">
        <is>
          <t>GIẢ ĐỊNH ±30% khi chưa tra được khoảng thật</t>
        </is>
      </c>
    </row>
    <row r="16">
      <c r="A16" t="inlineStr">
        <is>
          <t>Ngân sách thử nghiệm mỗi kênh / tháng</t>
        </is>
      </c>
      <c r="B16" s="2" t="n">
        <v>10000000</v>
      </c>
      <c r="C16" t="inlineStr">
        <is>
          <t>đ</t>
        </is>
      </c>
      <c r="D16" t="inlineStr">
        <is>
          <t>GIẢ ĐỊNH</t>
        </is>
      </c>
    </row>
    <row r="18">
      <c r="A18" s="6" t="inlineStr">
        <is>
          <t>Ghi chú: mọi số GIẢ ĐỊNH phải ghi rõ trong báo cáo; khi có số thật chỉ cần sửa ô vàng.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7" t="inlineStr">
        <is>
          <t>SKU</t>
        </is>
      </c>
      <c r="B1" s="7" t="inlineStr">
        <is>
          <t>Tên sản phẩm</t>
        </is>
      </c>
      <c r="C1" s="7" t="inlineStr">
        <is>
          <t>Nhóm hàng</t>
        </is>
      </c>
      <c r="D1" s="7" t="inlineStr">
        <is>
          <t>Giá bán</t>
        </is>
      </c>
      <c r="E1" s="7" t="inlineStr">
        <is>
          <t>Giá vốn</t>
        </is>
      </c>
      <c r="F1" s="7" t="inlineStr">
        <is>
          <t>Biên gộp</t>
        </is>
      </c>
      <c r="G1" s="7" t="inlineStr">
        <is>
          <t>Khối lượng (g)</t>
        </is>
      </c>
    </row>
    <row r="2">
      <c r="A2" t="inlineStr">
        <is>
          <t>BUT-GEL-001</t>
        </is>
      </c>
      <c r="B2" t="inlineStr">
        <is>
          <t>Bút bi gel 0.5mm</t>
        </is>
      </c>
      <c r="C2" t="inlineStr">
        <is>
          <t>Bút viết</t>
        </is>
      </c>
      <c r="D2" s="8" t="n">
        <v>58000</v>
      </c>
      <c r="E2" s="8" t="n">
        <v>39000</v>
      </c>
      <c r="F2" s="9">
        <f>(D2-E2)/D2</f>
        <v/>
      </c>
      <c r="G2" t="n">
        <v>767</v>
      </c>
    </row>
    <row r="3">
      <c r="A3" t="inlineStr">
        <is>
          <t>BUT-CHI-002</t>
        </is>
      </c>
      <c r="B3" t="inlineStr">
        <is>
          <t>Bút chì gỗ HB</t>
        </is>
      </c>
      <c r="C3" t="inlineStr">
        <is>
          <t>Bút viết</t>
        </is>
      </c>
      <c r="D3" s="8" t="n">
        <v>290000</v>
      </c>
      <c r="E3" s="8" t="n">
        <v>196000</v>
      </c>
      <c r="F3" s="9">
        <f>(D3-E3)/D3</f>
        <v/>
      </c>
      <c r="G3" t="n">
        <v>435</v>
      </c>
    </row>
    <row r="4">
      <c r="A4" t="inlineStr">
        <is>
          <t>BUT-MUC-003</t>
        </is>
      </c>
      <c r="B4" t="inlineStr">
        <is>
          <t>Bút highlight 5 màu</t>
        </is>
      </c>
      <c r="C4" t="inlineStr">
        <is>
          <t>Bút viết</t>
        </is>
      </c>
      <c r="D4" s="8" t="n">
        <v>220000</v>
      </c>
      <c r="E4" s="8" t="n">
        <v>129000</v>
      </c>
      <c r="F4" s="9">
        <f>(D4-E4)/D4</f>
        <v/>
      </c>
      <c r="G4" t="n">
        <v>222</v>
      </c>
    </row>
    <row r="5">
      <c r="A5" t="inlineStr">
        <is>
          <t>BUT-MUC-004</t>
        </is>
      </c>
      <c r="B5" t="inlineStr">
        <is>
          <t>Bút lông kim 0.4mm</t>
        </is>
      </c>
      <c r="C5" t="inlineStr">
        <is>
          <t>Bút viết</t>
        </is>
      </c>
      <c r="D5" s="8" t="n">
        <v>35000</v>
      </c>
      <c r="E5" s="8" t="n">
        <v>24000</v>
      </c>
      <c r="F5" s="9">
        <f>(D5-E5)/D5</f>
        <v/>
      </c>
      <c r="G5" t="n">
        <v>793</v>
      </c>
    </row>
    <row r="6">
      <c r="A6" t="inlineStr">
        <is>
          <t>BUT-MUC-005</t>
        </is>
      </c>
      <c r="B6" t="inlineStr">
        <is>
          <t>Bút xoá nước 8ml</t>
        </is>
      </c>
      <c r="C6" t="inlineStr">
        <is>
          <t>Bút viết</t>
        </is>
      </c>
      <c r="D6" s="8" t="n">
        <v>290000</v>
      </c>
      <c r="E6" s="8" t="n">
        <v>181000</v>
      </c>
      <c r="F6" s="9">
        <f>(D6-E6)/D6</f>
        <v/>
      </c>
      <c r="G6" t="n">
        <v>203</v>
      </c>
    </row>
    <row r="7">
      <c r="A7" t="inlineStr">
        <is>
          <t>BUT-GEL-006</t>
        </is>
      </c>
      <c r="B7" t="inlineStr">
        <is>
          <t>Ruột bút gel 0.5mm</t>
        </is>
      </c>
      <c r="C7" t="inlineStr">
        <is>
          <t>Bút viết</t>
        </is>
      </c>
      <c r="D7" s="8" t="n">
        <v>220000</v>
      </c>
      <c r="E7" s="8" t="n">
        <v>157000</v>
      </c>
      <c r="F7" s="9">
        <f>(D7-E7)/D7</f>
        <v/>
      </c>
      <c r="G7" t="n">
        <v>840</v>
      </c>
    </row>
    <row r="8">
      <c r="A8" t="inlineStr">
        <is>
          <t>BUT-CHI-007</t>
        </is>
      </c>
      <c r="B8" t="inlineStr">
        <is>
          <t>Bút chì bấm 0.7mm</t>
        </is>
      </c>
      <c r="C8" t="inlineStr">
        <is>
          <t>Bút viết</t>
        </is>
      </c>
      <c r="D8" s="8" t="n">
        <v>75000</v>
      </c>
      <c r="E8" s="8" t="n">
        <v>52000</v>
      </c>
      <c r="F8" s="9">
        <f>(D8-E8)/D8</f>
        <v/>
      </c>
      <c r="G8" t="n">
        <v>178</v>
      </c>
    </row>
    <row r="9">
      <c r="A9" t="inlineStr">
        <is>
          <t>BUT-MUC-008</t>
        </is>
      </c>
      <c r="B9" t="inlineStr">
        <is>
          <t>Bút máy luyện chữ</t>
        </is>
      </c>
      <c r="C9" t="inlineStr">
        <is>
          <t>Bút viết</t>
        </is>
      </c>
      <c r="D9" s="8" t="n">
        <v>45000</v>
      </c>
      <c r="E9" s="8" t="n">
        <v>32000</v>
      </c>
      <c r="F9" s="9">
        <f>(D9-E9)/D9</f>
        <v/>
      </c>
      <c r="G9" t="n">
        <v>186</v>
      </c>
    </row>
    <row r="10">
      <c r="A10" t="inlineStr">
        <is>
          <t>VO-VO-009</t>
        </is>
      </c>
      <c r="B10" t="inlineStr">
        <is>
          <t>Vở kẻ ngang 200 trang</t>
        </is>
      </c>
      <c r="C10" t="inlineStr">
        <is>
          <t>Vở &amp; sổ</t>
        </is>
      </c>
      <c r="D10" s="8" t="n">
        <v>95000</v>
      </c>
      <c r="E10" s="8" t="n">
        <v>56000</v>
      </c>
      <c r="F10" s="9">
        <f>(D10-E10)/D10</f>
        <v/>
      </c>
      <c r="G10" t="n">
        <v>597</v>
      </c>
    </row>
    <row r="11">
      <c r="A11" t="inlineStr">
        <is>
          <t>VO-VO-010</t>
        </is>
      </c>
      <c r="B11" t="inlineStr">
        <is>
          <t>Vở ô ly lớp 1</t>
        </is>
      </c>
      <c r="C11" t="inlineStr">
        <is>
          <t>Vở &amp; sổ</t>
        </is>
      </c>
      <c r="D11" s="8" t="n">
        <v>165000</v>
      </c>
      <c r="E11" s="8" t="n">
        <v>120000</v>
      </c>
      <c r="F11" s="9">
        <f>(D11-E11)/D11</f>
        <v/>
      </c>
      <c r="G11" t="n">
        <v>75</v>
      </c>
    </row>
    <row r="12">
      <c r="A12" t="inlineStr">
        <is>
          <t>VO-SO-011</t>
        </is>
      </c>
      <c r="B12" t="inlineStr">
        <is>
          <t>Sổ tay bìa cứng A5</t>
        </is>
      </c>
      <c r="C12" t="inlineStr">
        <is>
          <t>Vở &amp; sổ</t>
        </is>
      </c>
      <c r="D12" s="8" t="n">
        <v>290000</v>
      </c>
      <c r="E12" s="8" t="n">
        <v>167000</v>
      </c>
      <c r="F12" s="9">
        <f>(D12-E12)/D12</f>
        <v/>
      </c>
      <c r="G12" t="n">
        <v>150</v>
      </c>
    </row>
    <row r="13">
      <c r="A13" t="inlineStr">
        <is>
          <t>VO-VO-012</t>
        </is>
      </c>
      <c r="B13" t="inlineStr">
        <is>
          <t>Vở vẽ A4 không dòng</t>
        </is>
      </c>
      <c r="C13" t="inlineStr">
        <is>
          <t>Vở &amp; sổ</t>
        </is>
      </c>
      <c r="D13" s="8" t="n">
        <v>35000</v>
      </c>
      <c r="E13" s="8" t="n">
        <v>20000</v>
      </c>
      <c r="F13" s="9">
        <f>(D13-E13)/D13</f>
        <v/>
      </c>
      <c r="G13" t="n">
        <v>115</v>
      </c>
    </row>
    <row r="14">
      <c r="A14" t="inlineStr">
        <is>
          <t>VO-GIAY-013</t>
        </is>
      </c>
      <c r="B14" t="inlineStr">
        <is>
          <t>Giấy kiểm tra A4 100 tờ</t>
        </is>
      </c>
      <c r="C14" t="inlineStr">
        <is>
          <t>Vở &amp; sổ</t>
        </is>
      </c>
      <c r="D14" s="8" t="n">
        <v>350000</v>
      </c>
      <c r="E14" s="8" t="n">
        <v>199000</v>
      </c>
      <c r="F14" s="9">
        <f>(D14-E14)/D14</f>
        <v/>
      </c>
      <c r="G14" t="n">
        <v>618</v>
      </c>
    </row>
    <row r="15">
      <c r="A15" t="inlineStr">
        <is>
          <t>VO-SO-014</t>
        </is>
      </c>
      <c r="B15" t="inlineStr">
        <is>
          <t>Sổ lò xo A5 kẻ ngang</t>
        </is>
      </c>
      <c r="C15" t="inlineStr">
        <is>
          <t>Vở &amp; sổ</t>
        </is>
      </c>
      <c r="D15" s="8" t="n">
        <v>35000</v>
      </c>
      <c r="E15" s="8" t="n">
        <v>20000</v>
      </c>
      <c r="F15" s="9">
        <f>(D15-E15)/D15</f>
        <v/>
      </c>
      <c r="G15" t="n">
        <v>690</v>
      </c>
    </row>
    <row r="16">
      <c r="A16" t="inlineStr">
        <is>
          <t>VO-VO-015</t>
        </is>
      </c>
      <c r="B16" t="inlineStr">
        <is>
          <t>Vở tập viết lớp 2</t>
        </is>
      </c>
      <c r="C16" t="inlineStr">
        <is>
          <t>Vở &amp; sổ</t>
        </is>
      </c>
      <c r="D16" s="8" t="n">
        <v>95000</v>
      </c>
      <c r="E16" s="8" t="n">
        <v>66000</v>
      </c>
      <c r="F16" s="9">
        <f>(D16-E16)/D16</f>
        <v/>
      </c>
      <c r="G16" t="n">
        <v>311</v>
      </c>
    </row>
    <row r="17">
      <c r="A17" t="inlineStr">
        <is>
          <t>VO-SO-016</t>
        </is>
      </c>
      <c r="B17" t="inlineStr">
        <is>
          <t>Sổ ghi chép A6</t>
        </is>
      </c>
      <c r="C17" t="inlineStr">
        <is>
          <t>Vở &amp; sổ</t>
        </is>
      </c>
      <c r="D17" s="8" t="n">
        <v>220000</v>
      </c>
      <c r="E17" s="8" t="n">
        <v>141000</v>
      </c>
      <c r="F17" s="9">
        <f>(D17-E17)/D17</f>
        <v/>
      </c>
      <c r="G17" t="n">
        <v>150</v>
      </c>
    </row>
    <row r="18">
      <c r="A18" t="inlineStr">
        <is>
          <t>DC-HT-017</t>
        </is>
      </c>
      <c r="B18" t="inlineStr">
        <is>
          <t>Hộp bút vải 2 khoá</t>
        </is>
      </c>
      <c r="C18" t="inlineStr">
        <is>
          <t>Dụng cụ</t>
        </is>
      </c>
      <c r="D18" s="8" t="n">
        <v>58000</v>
      </c>
      <c r="E18" s="8" t="n">
        <v>42000</v>
      </c>
      <c r="F18" s="9">
        <f>(D18-E18)/D18</f>
        <v/>
      </c>
      <c r="G18" t="n">
        <v>616</v>
      </c>
    </row>
    <row r="19">
      <c r="A19" t="inlineStr">
        <is>
          <t>DC-VE-018</t>
        </is>
      </c>
      <c r="B19" t="inlineStr">
        <is>
          <t>Thước kẻ nhựa 20cm</t>
        </is>
      </c>
      <c r="C19" t="inlineStr">
        <is>
          <t>Dụng cụ</t>
        </is>
      </c>
      <c r="D19" s="8" t="n">
        <v>350000</v>
      </c>
      <c r="E19" s="8" t="n">
        <v>223000</v>
      </c>
      <c r="F19" s="9">
        <f>(D19-E19)/D19</f>
        <v/>
      </c>
      <c r="G19" t="n">
        <v>882</v>
      </c>
    </row>
    <row r="20">
      <c r="A20" t="inlineStr">
        <is>
          <t>DC-HT-019</t>
        </is>
      </c>
      <c r="B20" t="inlineStr">
        <is>
          <t>Gọt bút chì có hộp</t>
        </is>
      </c>
      <c r="C20" t="inlineStr">
        <is>
          <t>Dụng cụ</t>
        </is>
      </c>
      <c r="D20" s="8" t="n">
        <v>28000</v>
      </c>
      <c r="E20" s="8" t="n">
        <v>17000</v>
      </c>
      <c r="F20" s="9">
        <f>(D20-E20)/D20</f>
        <v/>
      </c>
      <c r="G20" t="n">
        <v>815</v>
      </c>
    </row>
    <row r="21">
      <c r="A21" t="inlineStr">
        <is>
          <t>DC-VE-020</t>
        </is>
      </c>
      <c r="B21" t="inlineStr">
        <is>
          <t>Bộ compa 8 chi tiết</t>
        </is>
      </c>
      <c r="C21" t="inlineStr">
        <is>
          <t>Dụng cụ</t>
        </is>
      </c>
      <c r="D21" s="8" t="n">
        <v>75000</v>
      </c>
      <c r="E21" s="8" t="n">
        <v>45000</v>
      </c>
      <c r="F21" s="9">
        <f>(D21-E21)/D21</f>
        <v/>
      </c>
      <c r="G21" t="n">
        <v>273</v>
      </c>
    </row>
    <row r="22">
      <c r="A22" t="inlineStr">
        <is>
          <t>DC-HT-021</t>
        </is>
      </c>
      <c r="B22" t="inlineStr">
        <is>
          <t>Kéo học sinh mũi tròn</t>
        </is>
      </c>
      <c r="C22" t="inlineStr">
        <is>
          <t>Dụng cụ</t>
        </is>
      </c>
      <c r="D22" s="8" t="n">
        <v>15000</v>
      </c>
      <c r="E22" s="8" t="n">
        <v>9000</v>
      </c>
      <c r="F22" s="9">
        <f>(D22-E22)/D22</f>
        <v/>
      </c>
      <c r="G22" t="n">
        <v>239</v>
      </c>
    </row>
    <row r="23">
      <c r="A23" t="inlineStr">
        <is>
          <t>DC-HT-022</t>
        </is>
      </c>
      <c r="B23" t="inlineStr">
        <is>
          <t>Băng keo trong 12mm</t>
        </is>
      </c>
      <c r="C23" t="inlineStr">
        <is>
          <t>Dụng cụ</t>
        </is>
      </c>
      <c r="D23" s="8" t="n">
        <v>220000</v>
      </c>
      <c r="E23" s="8" t="n">
        <v>153000</v>
      </c>
      <c r="F23" s="9">
        <f>(D23-E23)/D23</f>
        <v/>
      </c>
      <c r="G23" t="n">
        <v>273</v>
      </c>
    </row>
    <row r="24">
      <c r="A24" t="inlineStr">
        <is>
          <t>DC-VE-023</t>
        </is>
      </c>
      <c r="B24" t="inlineStr">
        <is>
          <t>Bảng con 2 mặt</t>
        </is>
      </c>
      <c r="C24" t="inlineStr">
        <is>
          <t>Dụng cụ</t>
        </is>
      </c>
      <c r="D24" s="8" t="n">
        <v>220000</v>
      </c>
      <c r="E24" s="8" t="n">
        <v>139000</v>
      </c>
      <c r="F24" s="9">
        <f>(D24-E24)/D24</f>
        <v/>
      </c>
      <c r="G24" t="n">
        <v>285</v>
      </c>
    </row>
    <row r="25">
      <c r="A25" t="inlineStr">
        <is>
          <t>DC-VE-024</t>
        </is>
      </c>
      <c r="B25" t="inlineStr">
        <is>
          <t>Ê ke bộ 2 chiếc</t>
        </is>
      </c>
      <c r="C25" t="inlineStr">
        <is>
          <t>Dụng cụ</t>
        </is>
      </c>
      <c r="D25" s="8" t="n">
        <v>75000</v>
      </c>
      <c r="E25" s="8" t="n">
        <v>52000</v>
      </c>
      <c r="F25" s="9">
        <f>(D25-E25)/D25</f>
        <v/>
      </c>
      <c r="G25" t="n">
        <v>394</v>
      </c>
    </row>
    <row r="26">
      <c r="A26" t="inlineStr">
        <is>
          <t>BL-BL-025</t>
        </is>
      </c>
      <c r="B26" t="inlineStr">
        <is>
          <t>Ba lô chống gù lớp 1-3</t>
        </is>
      </c>
      <c r="C26" t="inlineStr">
        <is>
          <t>Ba lô &amp; túi</t>
        </is>
      </c>
      <c r="D26" s="8" t="n">
        <v>35000</v>
      </c>
      <c r="E26" s="8" t="n">
        <v>26000</v>
      </c>
      <c r="F26" s="9">
        <f>(D26-E26)/D26</f>
        <v/>
      </c>
      <c r="G26" t="n">
        <v>524</v>
      </c>
    </row>
    <row r="27">
      <c r="A27" t="inlineStr">
        <is>
          <t>BL-BL-026</t>
        </is>
      </c>
      <c r="B27" t="inlineStr">
        <is>
          <t>Ba lô chống gù lớp 4-5</t>
        </is>
      </c>
      <c r="C27" t="inlineStr">
        <is>
          <t>Ba lô &amp; túi</t>
        </is>
      </c>
      <c r="D27" s="8" t="n">
        <v>120000</v>
      </c>
      <c r="E27" s="8" t="n">
        <v>85000</v>
      </c>
      <c r="F27" s="9">
        <f>(D27-E27)/D27</f>
        <v/>
      </c>
      <c r="G27" t="n">
        <v>928</v>
      </c>
    </row>
    <row r="28">
      <c r="A28" t="inlineStr">
        <is>
          <t>BL-TUI-027</t>
        </is>
      </c>
      <c r="B28" t="inlineStr">
        <is>
          <t>Túi đeo chéo A4</t>
        </is>
      </c>
      <c r="C28" t="inlineStr">
        <is>
          <t>Ba lô &amp; túi</t>
        </is>
      </c>
      <c r="D28" s="8" t="n">
        <v>35000</v>
      </c>
      <c r="E28" s="8" t="n">
        <v>21000</v>
      </c>
      <c r="F28" s="9">
        <f>(D28-E28)/D28</f>
        <v/>
      </c>
      <c r="G28" t="n">
        <v>241</v>
      </c>
    </row>
    <row r="29">
      <c r="A29" t="inlineStr">
        <is>
          <t>BL-TUI-028</t>
        </is>
      </c>
      <c r="B29" t="inlineStr">
        <is>
          <t>Túi đựng bình nước</t>
        </is>
      </c>
      <c r="C29" t="inlineStr">
        <is>
          <t>Ba lô &amp; túi</t>
        </is>
      </c>
      <c r="D29" s="8" t="n">
        <v>35000</v>
      </c>
      <c r="E29" s="8" t="n">
        <v>21000</v>
      </c>
      <c r="F29" s="9">
        <f>(D29-E29)/D29</f>
        <v/>
      </c>
      <c r="G29" t="n">
        <v>228</v>
      </c>
    </row>
    <row r="30">
      <c r="A30" t="inlineStr">
        <is>
          <t>BL-BL-029</t>
        </is>
      </c>
      <c r="B30" t="inlineStr">
        <is>
          <t>Ba lô có phản quang</t>
        </is>
      </c>
      <c r="C30" t="inlineStr">
        <is>
          <t>Ba lô &amp; túi</t>
        </is>
      </c>
      <c r="D30" s="8" t="n">
        <v>350000</v>
      </c>
      <c r="E30" s="8" t="n">
        <v>260000</v>
      </c>
      <c r="F30" s="9">
        <f>(D30-E30)/D30</f>
        <v/>
      </c>
      <c r="G30" t="n">
        <v>212</v>
      </c>
    </row>
    <row r="31">
      <c r="A31" t="inlineStr">
        <is>
          <t>BL-BL-030</t>
        </is>
      </c>
      <c r="B31" t="inlineStr">
        <is>
          <t>Cặp chống nước lớp 1</t>
        </is>
      </c>
      <c r="C31" t="inlineStr">
        <is>
          <t>Ba lô &amp; túi</t>
        </is>
      </c>
      <c r="D31" s="8" t="n">
        <v>22000</v>
      </c>
      <c r="E31" s="8" t="n">
        <v>16000</v>
      </c>
      <c r="F31" s="9">
        <f>(D31-E31)/D31</f>
        <v/>
      </c>
      <c r="G31" t="n">
        <v>360</v>
      </c>
    </row>
    <row r="32">
      <c r="A32" t="inlineStr">
        <is>
          <t>BL-TUI-031</t>
        </is>
      </c>
      <c r="B32" t="inlineStr">
        <is>
          <t>Túi giữ nhiệt hộp cơm</t>
        </is>
      </c>
      <c r="C32" t="inlineStr">
        <is>
          <t>Ba lô &amp; túi</t>
        </is>
      </c>
      <c r="D32" s="8" t="n">
        <v>165000</v>
      </c>
      <c r="E32" s="8" t="n">
        <v>92000</v>
      </c>
      <c r="F32" s="9">
        <f>(D32-E32)/D32</f>
        <v/>
      </c>
      <c r="G32" t="n">
        <v>628</v>
      </c>
    </row>
    <row r="33">
      <c r="A33" t="inlineStr">
        <is>
          <t>BL-BL-032</t>
        </is>
      </c>
      <c r="B33" t="inlineStr">
        <is>
          <t>Balo thể thao trẻ em</t>
        </is>
      </c>
      <c r="C33" t="inlineStr">
        <is>
          <t>Ba lô &amp; túi</t>
        </is>
      </c>
      <c r="D33" s="8" t="n">
        <v>350000</v>
      </c>
      <c r="E33" s="8" t="n">
        <v>248000</v>
      </c>
      <c r="F33" s="9">
        <f>(D33-E33)/D33</f>
        <v/>
      </c>
      <c r="G33" t="n">
        <v>799</v>
      </c>
    </row>
    <row r="34">
      <c r="A34" t="inlineStr">
        <is>
          <t>MT-MAU-033</t>
        </is>
      </c>
      <c r="B34" t="inlineStr">
        <is>
          <t>Sáp màu 24 màu</t>
        </is>
      </c>
      <c r="C34" t="inlineStr">
        <is>
          <t>Mỹ thuật</t>
        </is>
      </c>
      <c r="D34" s="8" t="n">
        <v>28000</v>
      </c>
      <c r="E34" s="8" t="n">
        <v>20000</v>
      </c>
      <c r="F34" s="9">
        <f>(D34-E34)/D34</f>
        <v/>
      </c>
      <c r="G34" t="n">
        <v>710</v>
      </c>
    </row>
    <row r="35">
      <c r="A35" t="inlineStr">
        <is>
          <t>MT-MAU-034</t>
        </is>
      </c>
      <c r="B35" t="inlineStr">
        <is>
          <t>Màu nước 12 ô</t>
        </is>
      </c>
      <c r="C35" t="inlineStr">
        <is>
          <t>Mỹ thuật</t>
        </is>
      </c>
      <c r="D35" s="8" t="n">
        <v>22000</v>
      </c>
      <c r="E35" s="8" t="n">
        <v>15000</v>
      </c>
      <c r="F35" s="9">
        <f>(D35-E35)/D35</f>
        <v/>
      </c>
      <c r="G35" t="n">
        <v>907</v>
      </c>
    </row>
    <row r="36">
      <c r="A36" t="inlineStr">
        <is>
          <t>MT-MAU-035</t>
        </is>
      </c>
      <c r="B36" t="inlineStr">
        <is>
          <t>Bút chì màu 36 màu</t>
        </is>
      </c>
      <c r="C36" t="inlineStr">
        <is>
          <t>Mỹ thuật</t>
        </is>
      </c>
      <c r="D36" s="8" t="n">
        <v>290000</v>
      </c>
      <c r="E36" s="8" t="n">
        <v>212000</v>
      </c>
      <c r="F36" s="9">
        <f>(D36-E36)/D36</f>
        <v/>
      </c>
      <c r="G36" t="n">
        <v>532</v>
      </c>
    </row>
    <row r="37">
      <c r="A37" t="inlineStr">
        <is>
          <t>MT-DCMT-036</t>
        </is>
      </c>
      <c r="B37" t="inlineStr">
        <is>
          <t>Đất sét nặn 12 màu</t>
        </is>
      </c>
      <c r="C37" t="inlineStr">
        <is>
          <t>Mỹ thuật</t>
        </is>
      </c>
      <c r="D37" s="8" t="n">
        <v>75000</v>
      </c>
      <c r="E37" s="8" t="n">
        <v>48000</v>
      </c>
      <c r="F37" s="9">
        <f>(D37-E37)/D37</f>
        <v/>
      </c>
      <c r="G37" t="n">
        <v>743</v>
      </c>
    </row>
    <row r="38">
      <c r="A38" t="inlineStr">
        <is>
          <t>MT-MAU-037</t>
        </is>
      </c>
      <c r="B38" t="inlineStr">
        <is>
          <t>Giấy màu thủ công</t>
        </is>
      </c>
      <c r="C38" t="inlineStr">
        <is>
          <t>Mỹ thuật</t>
        </is>
      </c>
      <c r="D38" s="8" t="n">
        <v>165000</v>
      </c>
      <c r="E38" s="8" t="n">
        <v>106000</v>
      </c>
      <c r="F38" s="9">
        <f>(D38-E38)/D38</f>
        <v/>
      </c>
      <c r="G38" t="n">
        <v>293</v>
      </c>
    </row>
    <row r="39">
      <c r="A39" t="inlineStr">
        <is>
          <t>MT-DCMT-038</t>
        </is>
      </c>
      <c r="B39" t="inlineStr">
        <is>
          <t>Cọ vẽ bộ 6 chiếc</t>
        </is>
      </c>
      <c r="C39" t="inlineStr">
        <is>
          <t>Mỹ thuật</t>
        </is>
      </c>
      <c r="D39" s="8" t="n">
        <v>165000</v>
      </c>
      <c r="E39" s="8" t="n">
        <v>102000</v>
      </c>
      <c r="F39" s="9">
        <f>(D39-E39)/D39</f>
        <v/>
      </c>
      <c r="G39" t="n">
        <v>882</v>
      </c>
    </row>
    <row r="40">
      <c r="A40" t="inlineStr">
        <is>
          <t>MT-DCMT-039</t>
        </is>
      </c>
      <c r="B40" t="inlineStr">
        <is>
          <t>Bảng pha màu nhựa</t>
        </is>
      </c>
      <c r="C40" t="inlineStr">
        <is>
          <t>Mỹ thuật</t>
        </is>
      </c>
      <c r="D40" s="8" t="n">
        <v>22000</v>
      </c>
      <c r="E40" s="8" t="n">
        <v>14000</v>
      </c>
      <c r="F40" s="9">
        <f>(D40-E40)/D40</f>
        <v/>
      </c>
      <c r="G40" t="n">
        <v>658</v>
      </c>
    </row>
    <row r="41">
      <c r="A41" t="inlineStr">
        <is>
          <t>MT-DCMT-040</t>
        </is>
      </c>
      <c r="B41" t="inlineStr">
        <is>
          <t>Bộ tô tượng thạch cao</t>
        </is>
      </c>
      <c r="C41" t="inlineStr">
        <is>
          <t>Mỹ thuật</t>
        </is>
      </c>
      <c r="D41" s="8" t="n">
        <v>290000</v>
      </c>
      <c r="E41" s="8" t="n">
        <v>184000</v>
      </c>
      <c r="F41" s="9">
        <f>(D41-E41)/D41</f>
        <v/>
      </c>
      <c r="G41" t="n">
        <v>184</v>
      </c>
    </row>
    <row r="43">
      <c r="A43" s="6" t="inlineStr">
        <is>
          <t>Nguồn: 02-dataset/products.csv (dữ liệu mẫu). Lưu ý: cột khối lượng của dữ liệu mẫu rất lớn (bút gel 767 g), nên gần như mọi đơn rơi vào mức phí &gt; 1 kg.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52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Phương thức</t>
        </is>
      </c>
      <c r="B1" s="7" t="inlineStr">
        <is>
          <t>Phí cố định (đ)</t>
        </is>
      </c>
      <c r="C1" s="7" t="inlineStr">
        <is>
          <t>Tỷ lệ phí</t>
        </is>
      </c>
      <c r="D1" s="7" t="inlineStr">
        <is>
          <t>Nguồn biểu phí (tra cứu, ghi ngày)</t>
        </is>
      </c>
      <c r="E1" s="7" t="inlineStr">
        <is>
          <t>Đơn 150.000đ</t>
        </is>
      </c>
      <c r="F1" s="7" t="inlineStr">
        <is>
          <t>Đơn 450.000đ</t>
        </is>
      </c>
      <c r="G1" s="7" t="inlineStr">
        <is>
          <t>Đơn 1.500.000đ</t>
        </is>
      </c>
    </row>
    <row r="2">
      <c r="A2" t="inlineStr">
        <is>
          <t>Giá trị đơn</t>
        </is>
      </c>
      <c r="E2" s="8" t="n">
        <v>150000</v>
      </c>
      <c r="F2" s="8" t="n">
        <v>450000</v>
      </c>
      <c r="G2" s="8" t="n">
        <v>1500000</v>
      </c>
    </row>
    <row r="3">
      <c r="A3" t="inlineStr">
        <is>
          <t>Lợi nhuận gộp của đơn</t>
        </is>
      </c>
      <c r="E3" s="8">
        <f>E2*GiaDinh!$B$3</f>
        <v/>
      </c>
      <c r="F3" s="8">
        <f>F2*GiaDinh!$B$3</f>
        <v/>
      </c>
      <c r="G3" s="8">
        <f>G2*GiaDinh!$B$3</f>
        <v/>
      </c>
    </row>
    <row r="4">
      <c r="A4" t="inlineStr">
        <is>
          <t>VNPay (thẻ ATM nội địa)</t>
        </is>
      </c>
      <c r="B4" s="4" t="n">
        <v>1650</v>
      </c>
      <c r="C4" s="5" t="n">
        <v>0.011</v>
      </c>
      <c r="D4" t="inlineStr">
        <is>
          <t>GIẢ ĐỊNH - CẦN tra biểu phí VNPay trên hợp đồng/website, ghi ngày tra</t>
        </is>
      </c>
      <c r="E4" s="8">
        <f>$B4+$C4*E$2</f>
        <v/>
      </c>
      <c r="F4" s="8">
        <f>$B4+$C4*F$2</f>
        <v/>
      </c>
      <c r="G4" s="8">
        <f>$B4+$C4*G$2</f>
        <v/>
      </c>
    </row>
    <row r="5">
      <c r="A5" t="inlineStr">
        <is>
          <t>VietQR (chuyển khoản)</t>
        </is>
      </c>
      <c r="B5" s="4" t="n">
        <v>0</v>
      </c>
      <c r="C5" s="5" t="n">
        <v>0</v>
      </c>
      <c r="D5" t="inlineStr">
        <is>
          <t>Chuyển khoản liên ngân hàng 24/7 thường miễn phí cho người nhận - CẦN xác nhận với ngân hàng</t>
        </is>
      </c>
      <c r="E5" s="8">
        <f>$B5+$C5*E$2</f>
        <v/>
      </c>
      <c r="F5" s="8">
        <f>$B5+$C5*F$2</f>
        <v/>
      </c>
      <c r="G5" s="8">
        <f>$B5+$C5*G$2</f>
        <v/>
      </c>
    </row>
    <row r="6">
      <c r="A6" t="inlineStr">
        <is>
          <t>COD (thu hộ qua đơn vị vận chuyển)</t>
        </is>
      </c>
      <c r="B6" s="4" t="n">
        <v>0</v>
      </c>
      <c r="C6" s="5" t="n">
        <v>0.008</v>
      </c>
      <c r="D6" t="inlineStr">
        <is>
          <t>GIẢ ĐỊNH - CẦN tra phí thu hộ của GHN/GHTK/Viettel Post</t>
        </is>
      </c>
      <c r="E6" s="8">
        <f>$B6+$C6*E$2</f>
        <v/>
      </c>
      <c r="F6" s="8">
        <f>$B6+$C6*F$2</f>
        <v/>
      </c>
      <c r="G6" s="8">
        <f>$B6+$C6*G$2</f>
        <v/>
      </c>
    </row>
    <row r="8">
      <c r="A8" s="10" t="inlineStr">
        <is>
          <t>Tỷ trọng phí / lợi nhuận gộp</t>
        </is>
      </c>
    </row>
    <row r="9">
      <c r="A9" t="inlineStr">
        <is>
          <t>VNPay (thẻ ATM nội địa)</t>
        </is>
      </c>
      <c r="E9" s="9">
        <f>E4/E$3</f>
        <v/>
      </c>
      <c r="F9" s="9">
        <f>F4/F$3</f>
        <v/>
      </c>
      <c r="G9" s="9">
        <f>G4/G$3</f>
        <v/>
      </c>
    </row>
    <row r="10">
      <c r="A10" t="inlineStr">
        <is>
          <t>VietQR (chuyển khoản)</t>
        </is>
      </c>
      <c r="E10" s="9">
        <f>E5/E$3</f>
        <v/>
      </c>
      <c r="F10" s="9">
        <f>F5/F$3</f>
        <v/>
      </c>
      <c r="G10" s="9">
        <f>G5/G$3</f>
        <v/>
      </c>
    </row>
    <row r="11">
      <c r="A11" t="inlineStr">
        <is>
          <t>COD (thu hộ qua đơn vị vận chuyển)</t>
        </is>
      </c>
      <c r="E11" s="9">
        <f>E6/E$3</f>
        <v/>
      </c>
      <c r="F11" s="9">
        <f>F6/F$3</f>
        <v/>
      </c>
      <c r="G11" s="9">
        <f>G6/G$3</f>
        <v/>
      </c>
    </row>
    <row r="13">
      <c r="A13" s="6" t="inlineStr">
        <is>
          <t>Công thức: phí = phí cố định + tỷ lệ × giá trị đơn; tỷ trọng = phí ÷ lợi nhuận gộp (lý thuyết buổi 4, slide 31). Với đơn nhỏ, phần cố định chiếm tỷ trọng lớn.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  <col width="12" customWidth="1" min="9" max="9"/>
    <col width="70" customWidth="1" min="10" max="10"/>
  </cols>
  <sheetData>
    <row r="1">
      <c r="A1" s="7" t="inlineStr">
        <is>
          <t>Mã đơn</t>
        </is>
      </c>
      <c r="B1" s="7" t="inlineStr">
        <is>
          <t>Phương thức</t>
        </is>
      </c>
      <c r="C1" s="7" t="inlineStr">
        <is>
          <t>Số tiền theo cửa hàng</t>
        </is>
      </c>
      <c r="D1" s="7" t="inlineStr">
        <is>
          <t>Số tiền theo cổng thanh toán</t>
        </is>
      </c>
      <c r="E1" s="7" t="inlineStr">
        <is>
          <t>Phí cổng</t>
        </is>
      </c>
      <c r="F1" s="7" t="inlineStr">
        <is>
          <t>Thực nhận theo sao kê</t>
        </is>
      </c>
      <c r="G1" s="7" t="inlineStr">
        <is>
          <t>Chênh lệch cửa hàng − cổng</t>
        </is>
      </c>
      <c r="H1" s="7" t="inlineStr">
        <is>
          <t>Chênh lệch cổng − phí − sao kê</t>
        </is>
      </c>
      <c r="I1" s="7" t="inlineStr">
        <is>
          <t>Kết luận</t>
        </is>
      </c>
      <c r="J1" s="7" t="inlineStr">
        <is>
          <t>Nguyên nhân và hướng xử lý</t>
        </is>
      </c>
    </row>
    <row r="2">
      <c r="A2" t="inlineStr">
        <is>
          <t>DH201</t>
        </is>
      </c>
      <c r="B2" t="inlineStr">
        <is>
          <t>VNPay</t>
        </is>
      </c>
      <c r="C2" s="8" t="n">
        <v>348000</v>
      </c>
      <c r="D2" s="8" t="n">
        <v>348000</v>
      </c>
      <c r="E2" s="8">
        <f>IF(D2=0,0,LT4_ChiPhi!$B$4*IF(D2&gt;C2*1.5,2,1)+LT4_ChiPhi!$C$4*D2)</f>
        <v/>
      </c>
      <c r="F2" s="8" t="n">
        <v>342522</v>
      </c>
      <c r="G2" s="8">
        <f>C2-D2</f>
        <v/>
      </c>
      <c r="H2" s="8">
        <f>D2-E2-F2</f>
        <v/>
      </c>
      <c r="I2">
        <f>IF(AND(ABS(G2)&lt;1,ABS(H2)&lt;1),"Khớp","LỆCH")</f>
        <v/>
      </c>
      <c r="J2" t="inlineStr">
        <is>
          <t>Khớp.</t>
        </is>
      </c>
    </row>
    <row r="3">
      <c r="A3" t="inlineStr">
        <is>
          <t>DH202</t>
        </is>
      </c>
      <c r="B3" t="inlineStr">
        <is>
          <t>VNPay</t>
        </is>
      </c>
      <c r="C3" s="8" t="n">
        <v>458000</v>
      </c>
      <c r="D3" s="8" t="n">
        <v>916000</v>
      </c>
      <c r="E3" s="8">
        <f>IF(D3=0,0,LT4_ChiPhi!$B$4*IF(D3&gt;C3*1.5,2,1)+LT4_ChiPhi!$C$4*D3)</f>
        <v/>
      </c>
      <c r="F3" s="8" t="n">
        <v>901924</v>
      </c>
      <c r="G3" s="8">
        <f>C3-D3</f>
        <v/>
      </c>
      <c r="H3" s="8">
        <f>D3-E3-F3</f>
        <v/>
      </c>
      <c r="I3">
        <f>IF(AND(ABS(G3)&lt;1,ABS(H3)&lt;1),"Khớp","LỆCH")</f>
        <v/>
      </c>
      <c r="J3" t="inlineStr">
        <is>
          <t>Giao dịch trùng: khách bấm thanh toán 2 lần, cổng ghi nhận 2 lần. Xử lý: hoàn lần thứ hai qua cổng; IPN mới đã chặn đơn thứ hai (mã 02).</t>
        </is>
      </c>
    </row>
    <row r="4">
      <c r="A4" t="inlineStr">
        <is>
          <t>DH203</t>
        </is>
      </c>
      <c r="B4" t="inlineStr">
        <is>
          <t>VNPay</t>
        </is>
      </c>
      <c r="C4" s="8" t="n">
        <v>520000</v>
      </c>
      <c r="D4" s="8" t="n">
        <v>468000</v>
      </c>
      <c r="E4" s="8">
        <f>IF(D4=0,0,LT4_ChiPhi!$B$4*IF(D4&gt;C4*1.5,2,1)+LT4_ChiPhi!$C$4*D4)</f>
        <v/>
      </c>
      <c r="F4" s="8" t="n">
        <v>461202</v>
      </c>
      <c r="G4" s="8">
        <f>C4-D4</f>
        <v/>
      </c>
      <c r="H4" s="8">
        <f>D4-E4-F4</f>
        <v/>
      </c>
      <c r="I4">
        <f>IF(AND(ABS(G4)&lt;1,ABS(H4)&lt;1),"Khớp","LỆCH")</f>
        <v/>
      </c>
      <c r="J4" t="inlineStr">
        <is>
          <t>Lệch số tiền: mã giảm giá 10% áp sau khi cấp phép. Xử lý: rà soát chứng từ, điều chỉnh bút toán; IPN mới từ chối số tiền không khớp (mã 04).</t>
        </is>
      </c>
    </row>
    <row r="5">
      <c r="A5" t="inlineStr">
        <is>
          <t>(không có)</t>
        </is>
      </c>
      <c r="B5" t="inlineStr">
        <is>
          <t>VietQR</t>
        </is>
      </c>
      <c r="C5" s="8" t="n">
        <v>0</v>
      </c>
      <c r="D5" s="8" t="n">
        <v>290000</v>
      </c>
      <c r="E5" s="8" t="n">
        <v>0</v>
      </c>
      <c r="F5" s="8" t="n">
        <v>290000</v>
      </c>
      <c r="G5" s="8">
        <f>C5-D5</f>
        <v/>
      </c>
      <c r="H5" s="8">
        <f>D5-E5-F5</f>
        <v/>
      </c>
      <c r="I5">
        <f>IF(AND(ABS(G5)&lt;1,ABS(H5)&lt;1),"Khớp","LỆCH")</f>
        <v/>
      </c>
      <c r="J5" t="inlineStr">
        <is>
          <t>Có tiền, không đơn: khách chuyển khoản nhưng đơn không tạo. Xử lý: truy vết theo nội dung chuyển khoản, liên hệ khách.</t>
        </is>
      </c>
    </row>
    <row r="6">
      <c r="A6" t="inlineStr">
        <is>
          <t>DH204</t>
        </is>
      </c>
      <c r="B6" t="inlineStr">
        <is>
          <t>VietQR</t>
        </is>
      </c>
      <c r="C6" s="8" t="n">
        <v>415000</v>
      </c>
      <c r="D6" s="8" t="n">
        <v>0</v>
      </c>
      <c r="E6" s="8" t="n">
        <v>0</v>
      </c>
      <c r="F6" s="8" t="n">
        <v>0</v>
      </c>
      <c r="G6" s="8">
        <f>C6-D6</f>
        <v/>
      </c>
      <c r="H6" s="8">
        <f>D6-E6-F6</f>
        <v/>
      </c>
      <c r="I6">
        <f>IF(AND(ABS(G6)&lt;1,ABS(H6)&lt;1),"Khớp","LỆCH")</f>
        <v/>
      </c>
      <c r="J6" t="inlineStr">
        <is>
          <t>Có đơn, không có tiền: khách chưa chuyển. Xử lý: giữ đơn Tạm giữ, không giao, hủy sau 24 giờ.</t>
        </is>
      </c>
    </row>
    <row r="8">
      <c r="A8" s="6" t="inlineStr">
        <is>
          <t>DỮ LIỆU GIẢ LẬP để luyện đối soát 3 nguồn (lý thuyết buổi 4, slide 15-16). Sandbox VNPay không có sao kê thật; khi có sao kê thử nghiệm, thay cột D và 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34" customWidth="1" min="4" max="4"/>
    <col width="70" customWidth="1" min="5" max="5"/>
  </cols>
  <sheetData>
    <row r="1">
      <c r="A1" s="7" t="inlineStr">
        <is>
          <t>Quy tắc</t>
        </is>
      </c>
      <c r="B1" s="7" t="inlineStr">
        <is>
          <t>Điều kiện kích hoạt (đo được)</t>
        </is>
      </c>
      <c r="C1" s="7" t="inlineStr">
        <is>
          <t>Ngưỡng</t>
        </is>
      </c>
      <c r="D1" s="7" t="inlineStr">
        <is>
          <t>Hành động</t>
        </is>
      </c>
      <c r="E1" s="7" t="inlineStr">
        <is>
          <t>Lý do chọn ngưỡng</t>
        </is>
      </c>
    </row>
    <row r="2">
      <c r="A2" t="n">
        <v>1</v>
      </c>
      <c r="B2" t="inlineStr">
        <is>
          <t>Đơn đầu tiên của một email có giá trị lớn hơn N lần giá trị đơn trung bình</t>
        </is>
      </c>
      <c r="C2" s="4" t="n">
        <v>3</v>
      </c>
      <c r="D2" t="inlineStr">
        <is>
          <t>Giữ đơn, gọi xác nhận trước khi giao</t>
        </is>
      </c>
      <c r="E2" t="inlineStr">
        <is>
          <t>Đơn trung bình 434.252đ ⇒ ngưỡng ≈ 1,3 triệu. Khách mới mua lớn bất thường là dấu hiệu dùng thẻ đánh cắp (slide 27).</t>
        </is>
      </c>
    </row>
    <row r="3">
      <c r="A3" t="n">
        <v>2</v>
      </c>
      <c r="B3" t="inlineStr">
        <is>
          <t>Cùng một IP có từ N lần thanh toán bị từ chối trong 1 giờ</t>
        </is>
      </c>
      <c r="C3" s="4" t="n">
        <v>3</v>
      </c>
      <c r="D3" t="inlineStr">
        <is>
          <t>Chặn thanh toán thẻ của IP đó 1 giờ (vẫn cho COD)</t>
        </is>
      </c>
      <c r="E3" t="inlineStr">
        <is>
          <t>Dò thử số thẻ tạo nhiều lần từ chối liên tiếp (slide 26). Người thật hiếm khi bị từ chối quá 2 lần.</t>
        </is>
      </c>
    </row>
    <row r="4">
      <c r="A4" t="n">
        <v>3</v>
      </c>
      <c r="B4" t="inlineStr">
        <is>
          <t>Đơn COD giao tới tỉnh khác Hà Nội có giá trị từ N đồng</t>
        </is>
      </c>
      <c r="C4" s="2" t="n">
        <v>1000000</v>
      </c>
      <c r="D4" t="inlineStr">
        <is>
          <t>Gọi xác minh trước khi gửi hàng</t>
        </is>
      </c>
      <c r="E4" t="inlineStr">
        <is>
          <t>COD giá trị lớn đi xa có chi phí hoàn cao (2 × phí ship ≈ 63.000đ) và chiếm dụng vốn (slide 12, 42).</t>
        </is>
      </c>
    </row>
    <row r="6">
      <c r="A6" t="inlineStr">
        <is>
          <t>Kiểm tra nhanh quy tắc 1:</t>
        </is>
      </c>
      <c r="B6">
        <f>"Ngưỡng đơn đầu tiên = "&amp;TEXT(C2*GiaDinh!$B$2,"#,##0")&amp;" đ"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80" customWidth="1" min="3" max="3"/>
    <col width="18" customWidth="1" min="4" max="4"/>
    <col width="30" customWidth="1" min="5" max="5"/>
    <col width="16" customWidth="1" min="6" max="6"/>
  </cols>
  <sheetData>
    <row r="1">
      <c r="A1" s="7" t="inlineStr">
        <is>
          <t>Chỉ số</t>
        </is>
      </c>
      <c r="B1" s="7" t="inlineStr">
        <is>
          <t>Giá trị</t>
        </is>
      </c>
      <c r="C1" s="7" t="inlineStr">
        <is>
          <t>Công thức / ghi chú</t>
        </is>
      </c>
    </row>
    <row r="2">
      <c r="A2" t="inlineStr">
        <is>
          <t>Sản phẩm chủ lực (số dòng trong sheet SanPham)</t>
        </is>
      </c>
      <c r="B2" s="4" t="n">
        <v>30</v>
      </c>
      <c r="C2" t="inlineStr">
        <is>
          <t>Đổi số dòng để tính cho sản phẩm khác. Mặc định: Ba lô có phản quang (có kiểm định, khớp định vị an toàn)</t>
        </is>
      </c>
    </row>
    <row r="3">
      <c r="A3" t="inlineStr">
        <is>
          <t>Tên sản phẩm</t>
        </is>
      </c>
      <c r="B3" s="8">
        <f>INDEX(SanPham!B:B,B2)</f>
        <v/>
      </c>
      <c r="C3" s="8" t="inlineStr"/>
      <c r="D3" s="8" t="n"/>
    </row>
    <row r="4">
      <c r="A4" t="inlineStr">
        <is>
          <t>Giá bán</t>
        </is>
      </c>
      <c r="B4" s="8">
        <f>INDEX(SanPham!D:D,B2)</f>
        <v/>
      </c>
      <c r="C4" s="8" t="inlineStr"/>
      <c r="D4" s="8" t="n"/>
    </row>
    <row r="5">
      <c r="A5" t="inlineStr">
        <is>
          <t>Giá vốn</t>
        </is>
      </c>
      <c r="B5" s="8">
        <f>INDEX(SanPham!E:E,B2)</f>
        <v/>
      </c>
      <c r="C5" s="8" t="inlineStr">
        <is>
          <t>Giá nhập, chưa gồm vận chuyển</t>
        </is>
      </c>
      <c r="D5" s="8" t="n"/>
    </row>
    <row r="6">
      <c r="A6" t="inlineStr">
        <is>
          <t>Biên gộp sản phẩm (chưa tính vận chuyển)</t>
        </is>
      </c>
      <c r="B6" s="9">
        <f>(B4-B5)/B4</f>
        <v/>
      </c>
      <c r="C6" s="9" t="inlineStr">
        <is>
          <t>(Giá bán − Giá vốn) ÷ Giá bán</t>
        </is>
      </c>
      <c r="D6" s="9" t="n"/>
    </row>
    <row r="7">
      <c r="A7" t="inlineStr">
        <is>
          <t>Giá trị đơn dùng để tính</t>
        </is>
      </c>
      <c r="B7" s="2">
        <f>GiaDinh!$B$2</f>
        <v/>
      </c>
      <c r="C7" s="8" t="inlineStr">
        <is>
          <t>Mặc định = đơn trung bình (đơn có ba lô thường kèm món khác). Ô vàng, đổi được</t>
        </is>
      </c>
      <c r="D7" s="8" t="n"/>
    </row>
    <row r="8">
      <c r="A8" t="inlineStr">
        <is>
          <t>Chi phí vận chuyển + đóng gói + hoàn hàng của một đơn</t>
        </is>
      </c>
      <c r="B8" s="8">
        <f>IF(B7&gt;=GiaDinh!$B$5,GiaDinh!$B$4,0)+GiaDinh!$B$6+GiaDinh!$B$7*GiaDinh!$B$8</f>
        <v/>
      </c>
      <c r="C8" s="8" t="inlineStr">
        <is>
          <t>Phí ship cửa hàng chỉ chịu khi đơn ≥ ngưỡng miễn phí; dưới ngưỡng khách trả</t>
        </is>
      </c>
      <c r="D8" s="8" t="n"/>
    </row>
    <row r="9">
      <c r="A9" t="inlineStr">
        <is>
          <t>Biên gộp thực</t>
        </is>
      </c>
      <c r="B9" s="9">
        <f>B6-B8/B7</f>
        <v/>
      </c>
      <c r="C9" s="9" t="inlineStr">
        <is>
          <t>Biên gộp sản phẩm − chi phí logistics tính trên giá trị đơn (slide 26: nêu rõ chi phí nào tính vào giá vốn)</t>
        </is>
      </c>
      <c r="D9" s="9" t="n"/>
    </row>
    <row r="10">
      <c r="A10" t="inlineStr">
        <is>
          <t>ROAS hoà vốn (sản phẩm chủ lực)</t>
        </is>
      </c>
      <c r="B10" s="11">
        <f>1/B9</f>
        <v/>
      </c>
      <c r="C10" s="11">
        <f> 1 ÷ biên gộp thực</f>
        <v/>
      </c>
      <c r="D10" s="11" t="n"/>
    </row>
    <row r="11">
      <c r="A11" t="inlineStr">
        <is>
          <t>ROAS hoà vốn (bình quân cửa hàng)</t>
        </is>
      </c>
      <c r="B11" s="11">
        <f>1/GiaDinh!$B$3</f>
        <v/>
      </c>
      <c r="C11" s="11">
        <f> 1 ÷ 34,23% (dùng cho dự báo 3 tình huống theo đơn trung bình)</f>
        <v/>
      </c>
      <c r="D11" s="11" t="n"/>
    </row>
    <row r="12">
      <c r="A12" t="inlineStr">
        <is>
          <t>CPA tối đa theo đơn</t>
        </is>
      </c>
      <c r="B12" s="8">
        <f>B7*B9</f>
        <v/>
      </c>
      <c r="C12" s="8">
        <f> giá trị đơn × biên gộp thực</f>
        <v/>
      </c>
      <c r="D12" s="8" t="n"/>
    </row>
    <row r="13">
      <c r="A13" t="inlineStr">
        <is>
          <t>CPA tối đa theo LTV (CAC tối đa)</t>
        </is>
      </c>
      <c r="B13" s="8">
        <f>GiaDinh!$B$9/GiaDinh!$B$10</f>
        <v/>
      </c>
      <c r="C13" s="8">
        <f> LTV ÷ 3 (buổi 5); chấp nhận dưới ngưỡng ở đơn đầu nếu khách mua lại</f>
        <v/>
      </c>
      <c r="D13" s="8" t="n"/>
    </row>
    <row r="14">
      <c r="B14" s="8" t="n"/>
      <c r="C14" s="8" t="n"/>
      <c r="D14" s="8" t="n"/>
    </row>
    <row r="15">
      <c r="A15" s="10" t="inlineStr">
        <is>
          <t>Kênh</t>
        </is>
      </c>
      <c r="B15" s="12" t="inlineStr">
        <is>
          <t>CPC tối đa theo đơn</t>
        </is>
      </c>
      <c r="C15" s="12" t="inlineStr">
        <is>
          <t>CPC tối đa theo LTV</t>
        </is>
      </c>
      <c r="D15" s="12" t="inlineStr">
        <is>
          <t>CPC tham khảo giữa khoảng</t>
        </is>
      </c>
      <c r="E15" s="10" t="inlineStr">
        <is>
          <t>Khả thi theo đơn?</t>
        </is>
      </c>
      <c r="F15" s="10" t="inlineStr">
        <is>
          <t>Khả thi theo LTV?</t>
        </is>
      </c>
    </row>
    <row r="16">
      <c r="A16" t="inlineStr">
        <is>
          <t>Tìm kiếm trả phí</t>
        </is>
      </c>
      <c r="B16" s="8">
        <f>$B$12*GiaDinh!$B$11</f>
        <v/>
      </c>
      <c r="C16" s="8">
        <f>$B$13*GiaDinh!$B$11</f>
        <v/>
      </c>
      <c r="D16" s="8">
        <f>GiaDinh!$B$13</f>
        <v/>
      </c>
      <c r="E16">
        <f>IF(D16&lt;=B16,"Có","Không - tối ưu trang đích trước")</f>
        <v/>
      </c>
      <c r="F16">
        <f>IF(D16&lt;=C16,"Có","Không")</f>
        <v/>
      </c>
    </row>
    <row r="17">
      <c r="A17" t="inlineStr">
        <is>
          <t>Quảng cáo MXH</t>
        </is>
      </c>
      <c r="B17" s="8">
        <f>$B$12*GiaDinh!$B$12</f>
        <v/>
      </c>
      <c r="C17" s="8">
        <f>$B$13*GiaDinh!$B$12</f>
        <v/>
      </c>
      <c r="D17" s="8">
        <f>GiaDinh!$B$14</f>
        <v/>
      </c>
      <c r="E17">
        <f>IF(D17&lt;=B17,"Có","Không - tối ưu trang đích trước")</f>
        <v/>
      </c>
      <c r="F17">
        <f>IF(D17&lt;=C17,"Có","Không")</f>
        <v/>
      </c>
    </row>
    <row r="19">
      <c r="A19" s="6" t="inlineStr">
        <is>
          <t>Hai cách tính ngưỡng cho ra kết luận khác nhau: theo đơn đầu (chặt) và theo LTV (nới). Báo cáo phải chọn và lập luận (lý thuyết buổi 6, slide 11).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9" customWidth="1" min="4" max="4"/>
    <col width="14" customWidth="1" min="5" max="5"/>
    <col width="11" customWidth="1" min="6" max="6"/>
    <col width="8" customWidth="1" min="7" max="7"/>
    <col width="14" customWidth="1" min="8" max="8"/>
    <col width="8" customWidth="1" min="9" max="9"/>
    <col width="12" customWidth="1" min="10" max="10"/>
    <col width="16" customWidth="1" min="11" max="11"/>
    <col width="22" customWidth="1" min="12" max="12"/>
  </cols>
  <sheetData>
    <row r="1">
      <c r="A1" s="7" t="inlineStr">
        <is>
          <t>Kênh</t>
        </is>
      </c>
      <c r="B1" s="7" t="inlineStr">
        <is>
          <t>Tình huống</t>
        </is>
      </c>
      <c r="C1" s="7" t="inlineStr">
        <is>
          <t>CPC</t>
        </is>
      </c>
      <c r="D1" s="7" t="inlineStr">
        <is>
          <t>CVR</t>
        </is>
      </c>
      <c r="E1" s="7" t="inlineStr">
        <is>
          <t>Ngân sách</t>
        </is>
      </c>
      <c r="F1" s="7" t="inlineStr">
        <is>
          <t>Lượt nhấp</t>
        </is>
      </c>
      <c r="G1" s="7" t="inlineStr">
        <is>
          <t>Đơn</t>
        </is>
      </c>
      <c r="H1" s="7" t="inlineStr">
        <is>
          <t>Doanh thu</t>
        </is>
      </c>
      <c r="I1" s="7" t="inlineStr">
        <is>
          <t>ROAS</t>
        </is>
      </c>
      <c r="J1" s="7" t="inlineStr">
        <is>
          <t>CPA</t>
        </is>
      </c>
      <c r="K1" s="7" t="inlineStr">
        <is>
          <t>LN gộp sau quảng cáo</t>
        </is>
      </c>
      <c r="L1" s="7" t="inlineStr">
        <is>
          <t>Trong ngưỡng hoà vốn?</t>
        </is>
      </c>
    </row>
    <row r="2">
      <c r="A2" t="inlineStr">
        <is>
          <t>Tìm kiếm trả phí</t>
        </is>
      </c>
      <c r="B2" t="inlineStr">
        <is>
          <t>Bất lợi</t>
        </is>
      </c>
      <c r="C2" s="8">
        <f>GiaDinh!$B$13*(1+GiaDinh!$B$15)</f>
        <v/>
      </c>
      <c r="D2" s="13">
        <f>GiaDinh!$B$11*0.8</f>
        <v/>
      </c>
      <c r="E2" s="8">
        <f>GiaDinh!$B$16</f>
        <v/>
      </c>
      <c r="F2" s="14">
        <f>E2/C2</f>
        <v/>
      </c>
      <c r="G2" s="15">
        <f>F2*D2</f>
        <v/>
      </c>
      <c r="H2" s="8">
        <f>G2*GiaDinh!$B$2</f>
        <v/>
      </c>
      <c r="I2" s="11">
        <f>H2/E2</f>
        <v/>
      </c>
      <c r="J2" s="8">
        <f>E2/G2</f>
        <v/>
      </c>
      <c r="K2" s="8">
        <f>H2*GiaDinh!$B$3-E2</f>
        <v/>
      </c>
      <c r="L2">
        <f>IF(I2&gt;=LT6_NguongChi!$B$11,"Có","KHÔNG - giảm ngân sách/hoãn")</f>
        <v/>
      </c>
    </row>
    <row r="3">
      <c r="A3" t="inlineStr">
        <is>
          <t>Tìm kiếm trả phí</t>
        </is>
      </c>
      <c r="B3" t="inlineStr">
        <is>
          <t>Cơ sở</t>
        </is>
      </c>
      <c r="C3" s="8">
        <f>GiaDinh!$B$13*1</f>
        <v/>
      </c>
      <c r="D3" s="13">
        <f>GiaDinh!$B$11*1</f>
        <v/>
      </c>
      <c r="E3" s="8">
        <f>GiaDinh!$B$16</f>
        <v/>
      </c>
      <c r="F3" s="14">
        <f>E3/C3</f>
        <v/>
      </c>
      <c r="G3" s="15">
        <f>F3*D3</f>
        <v/>
      </c>
      <c r="H3" s="8">
        <f>G3*GiaDinh!$B$2</f>
        <v/>
      </c>
      <c r="I3" s="11">
        <f>H3/E3</f>
        <v/>
      </c>
      <c r="J3" s="8">
        <f>E3/G3</f>
        <v/>
      </c>
      <c r="K3" s="8">
        <f>H3*GiaDinh!$B$3-E3</f>
        <v/>
      </c>
      <c r="L3">
        <f>IF(I3&gt;=LT6_NguongChi!$B$11,"Có","KHÔNG - giảm ngân sách/hoãn")</f>
        <v/>
      </c>
    </row>
    <row r="4">
      <c r="A4" t="inlineStr">
        <is>
          <t>Tìm kiếm trả phí</t>
        </is>
      </c>
      <c r="B4" t="inlineStr">
        <is>
          <t>Thuận lợi</t>
        </is>
      </c>
      <c r="C4" s="8">
        <f>GiaDinh!$B$13*(1-GiaDinh!$B$15)</f>
        <v/>
      </c>
      <c r="D4" s="13">
        <f>GiaDinh!$B$11*1.2</f>
        <v/>
      </c>
      <c r="E4" s="8">
        <f>GiaDinh!$B$16</f>
        <v/>
      </c>
      <c r="F4" s="14">
        <f>E4/C4</f>
        <v/>
      </c>
      <c r="G4" s="15">
        <f>F4*D4</f>
        <v/>
      </c>
      <c r="H4" s="8">
        <f>G4*GiaDinh!$B$2</f>
        <v/>
      </c>
      <c r="I4" s="11">
        <f>H4/E4</f>
        <v/>
      </c>
      <c r="J4" s="8">
        <f>E4/G4</f>
        <v/>
      </c>
      <c r="K4" s="8">
        <f>H4*GiaDinh!$B$3-E4</f>
        <v/>
      </c>
      <c r="L4">
        <f>IF(I4&gt;=LT6_NguongChi!$B$11,"Có","KHÔNG - giảm ngân sách/hoãn")</f>
        <v/>
      </c>
    </row>
    <row r="5">
      <c r="A5" t="inlineStr">
        <is>
          <t>Quảng cáo MXH</t>
        </is>
      </c>
      <c r="B5" t="inlineStr">
        <is>
          <t>Bất lợi</t>
        </is>
      </c>
      <c r="C5" s="8">
        <f>GiaDinh!$B$14*(1+GiaDinh!$B$15)</f>
        <v/>
      </c>
      <c r="D5" s="13">
        <f>GiaDinh!$B$12*0.8</f>
        <v/>
      </c>
      <c r="E5" s="8">
        <f>GiaDinh!$B$16</f>
        <v/>
      </c>
      <c r="F5" s="14">
        <f>E5/C5</f>
        <v/>
      </c>
      <c r="G5" s="15">
        <f>F5*D5</f>
        <v/>
      </c>
      <c r="H5" s="8">
        <f>G5*GiaDinh!$B$2</f>
        <v/>
      </c>
      <c r="I5" s="11">
        <f>H5/E5</f>
        <v/>
      </c>
      <c r="J5" s="8">
        <f>E5/G5</f>
        <v/>
      </c>
      <c r="K5" s="8">
        <f>H5*GiaDinh!$B$3-E5</f>
        <v/>
      </c>
      <c r="L5">
        <f>IF(I5&gt;=LT6_NguongChi!$B$11,"Có","KHÔNG - giảm ngân sách/hoãn")</f>
        <v/>
      </c>
    </row>
    <row r="6">
      <c r="A6" t="inlineStr">
        <is>
          <t>Quảng cáo MXH</t>
        </is>
      </c>
      <c r="B6" t="inlineStr">
        <is>
          <t>Cơ sở</t>
        </is>
      </c>
      <c r="C6" s="8">
        <f>GiaDinh!$B$14*1</f>
        <v/>
      </c>
      <c r="D6" s="13">
        <f>GiaDinh!$B$12*1</f>
        <v/>
      </c>
      <c r="E6" s="8">
        <f>GiaDinh!$B$16</f>
        <v/>
      </c>
      <c r="F6" s="14">
        <f>E6/C6</f>
        <v/>
      </c>
      <c r="G6" s="15">
        <f>F6*D6</f>
        <v/>
      </c>
      <c r="H6" s="8">
        <f>G6*GiaDinh!$B$2</f>
        <v/>
      </c>
      <c r="I6" s="11">
        <f>H6/E6</f>
        <v/>
      </c>
      <c r="J6" s="8">
        <f>E6/G6</f>
        <v/>
      </c>
      <c r="K6" s="8">
        <f>H6*GiaDinh!$B$3-E6</f>
        <v/>
      </c>
      <c r="L6">
        <f>IF(I6&gt;=LT6_NguongChi!$B$11,"Có","KHÔNG - giảm ngân sách/hoãn")</f>
        <v/>
      </c>
    </row>
    <row r="7">
      <c r="A7" t="inlineStr">
        <is>
          <t>Quảng cáo MXH</t>
        </is>
      </c>
      <c r="B7" t="inlineStr">
        <is>
          <t>Thuận lợi</t>
        </is>
      </c>
      <c r="C7" s="8">
        <f>GiaDinh!$B$14*(1-GiaDinh!$B$15)</f>
        <v/>
      </c>
      <c r="D7" s="13">
        <f>GiaDinh!$B$12*1.2</f>
        <v/>
      </c>
      <c r="E7" s="8">
        <f>GiaDinh!$B$16</f>
        <v/>
      </c>
      <c r="F7" s="14">
        <f>E7/C7</f>
        <v/>
      </c>
      <c r="G7" s="15">
        <f>F7*D7</f>
        <v/>
      </c>
      <c r="H7" s="8">
        <f>G7*GiaDinh!$B$2</f>
        <v/>
      </c>
      <c r="I7" s="11">
        <f>H7/E7</f>
        <v/>
      </c>
      <c r="J7" s="8">
        <f>E7/G7</f>
        <v/>
      </c>
      <c r="K7" s="8">
        <f>H7*GiaDinh!$B$3-E7</f>
        <v/>
      </c>
      <c r="L7">
        <f>IF(I7&gt;=LT6_NguongChi!$B$11,"Có","KHÔNG - giảm ngân sách/hoãn")</f>
        <v/>
      </c>
    </row>
    <row r="9">
      <c r="A9" s="6" t="inlineStr">
        <is>
          <t>Bất lợi: CPC ở mức cao của khoảng, CVR thấp hơn hiện tại 20%. Thuận lợi: CPC thấp, CVR cao hơn 20% (lý thuyết buổi 6, slide 27). Doanh thu tính theo đơn trung bình.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9" customWidth="1" min="3" max="3"/>
    <col width="9" customWidth="1" min="4" max="4"/>
    <col width="7" customWidth="1" min="5" max="5"/>
    <col width="8" customWidth="1" min="6" max="6"/>
    <col width="60" customWidth="1" min="7" max="7"/>
    <col width="60" customWidth="1" min="8" max="8"/>
  </cols>
  <sheetData>
    <row r="1">
      <c r="A1" s="7" t="inlineStr">
        <is>
          <t>Tài sản</t>
        </is>
      </c>
      <c r="B1" s="7" t="inlineStr">
        <is>
          <t>Lỗ hổng / mối đe doạ</t>
        </is>
      </c>
      <c r="C1" s="7" t="inlineStr">
        <is>
          <t>Khả năng (1-5)</t>
        </is>
      </c>
      <c r="D1" s="7" t="inlineStr">
        <is>
          <t>Tác động (1-5)</t>
        </is>
      </c>
      <c r="E1" s="7" t="inlineStr">
        <is>
          <t>Điểm</t>
        </is>
      </c>
      <c r="F1" s="7" t="inlineStr">
        <is>
          <t>Xếp hạng</t>
        </is>
      </c>
      <c r="G1" s="7" t="inlineStr">
        <is>
          <t>Lý do cho điểm</t>
        </is>
      </c>
      <c r="H1" s="7" t="inlineStr">
        <is>
          <t>Biện pháp / trạng thái 11/10</t>
        </is>
      </c>
    </row>
    <row r="2">
      <c r="A2" t="inlineStr">
        <is>
          <t>Khoá riêng TLS</t>
        </is>
      </c>
      <c r="B2" t="inlineStr">
        <is>
          <t>Đã nằm trong lịch sử git công khai trên GitHub</t>
        </is>
      </c>
      <c r="C2" s="4" t="n">
        <v>5</v>
      </c>
      <c r="D2" s="4" t="n">
        <v>3</v>
      </c>
      <c r="E2">
        <f>C2*D2</f>
        <v/>
      </c>
      <c r="F2">
        <f>RANK(E2,$E$2:$E$13)</f>
        <v/>
      </c>
      <c r="G2" s="16" t="inlineStr">
        <is>
          <t>Ai cũng tải được từ lịch sử repo (khả năng 5). Chứng chỉ tự ký chỉ dùng cục bộ nên tác động trung bình (3).</t>
        </is>
      </c>
      <c r="H2" s="16" t="inlineStr">
        <is>
          <t>Đã gỡ khỏi git, sinh khoá mới bằng certs/tao-chung-chi.sh. Khoá cũ coi như đã lộ.</t>
        </is>
      </c>
    </row>
    <row r="3">
      <c r="A3" t="inlineStr">
        <is>
          <t>Khoá bí mật VNPay sandbox</t>
        </is>
      </c>
      <c r="B3" t="inlineStr">
        <is>
          <t>Đã nằm trong lịch sử git công khai (setup-payments.php, db-init.sql)</t>
        </is>
      </c>
      <c r="C3" s="4" t="n">
        <v>5</v>
      </c>
      <c r="D3" s="4" t="n">
        <v>4</v>
      </c>
      <c r="E3">
        <f>C3*D3</f>
        <v/>
      </c>
      <c r="F3">
        <f>RANK(E3,$E$2:$E$13)</f>
        <v/>
      </c>
      <c r="G3" s="16" t="inlineStr">
        <is>
          <t>Lộ công khai (5). Có khoá thì ký được thông báo IPN giả để đơn thành 'đã thanh toán' (4).</t>
        </is>
      </c>
      <c r="H3" s="16" t="inlineStr">
        <is>
          <t>Đã chuyển sang .env, xoá khỏi mã và CSDL. CẦN đổi khoá mới trên cổng sandbox.</t>
        </is>
      </c>
    </row>
    <row r="4">
      <c r="A4" t="inlineStr">
        <is>
          <t>Tài khoản quản trị</t>
        </is>
      </c>
      <c r="B4" t="inlineStr">
        <is>
          <t>Mật khẩu yếu admin123 ghi trong README công khai</t>
        </is>
      </c>
      <c r="C4" s="4" t="n">
        <v>5</v>
      </c>
      <c r="D4" s="4" t="n">
        <v>5</v>
      </c>
      <c r="E4">
        <f>C4*D4</f>
        <v/>
      </c>
      <c r="F4">
        <f>RANK(E4,$E$2:$E$13)</f>
        <v/>
      </c>
      <c r="G4" s="16" t="inlineStr">
        <is>
          <t>Bị dò tự động hằng ngày (5). Chiếm quyền là mất toàn bộ cửa hàng và dữ liệu khách (5).</t>
        </is>
      </c>
      <c r="H4" s="16" t="inlineStr">
        <is>
          <t>Đã đổi mật khẩu 20 ký tự, bỏ khỏi README; có MFA và khoá sau 5 lần sai.</t>
        </is>
      </c>
    </row>
    <row r="5">
      <c r="A5" t="inlineStr">
        <is>
          <t>Plugin WooCommerce 9.7.1</t>
        </is>
      </c>
      <c r="B5" t="inlineStr">
        <is>
          <t>Chậm vá: đã có bản 10.9.4</t>
        </is>
      </c>
      <c r="C5" s="4" t="n">
        <v>4</v>
      </c>
      <c r="D5" s="4" t="n">
        <v>5</v>
      </c>
      <c r="E5">
        <f>C5*D5</f>
        <v/>
      </c>
      <c r="F5">
        <f>RANK(E5,$E$2:$E$13)</f>
        <v/>
      </c>
      <c r="G5" s="16" t="inlineStr">
        <is>
          <t>Lỗ hổng đã công bố bị quét tự động nhanh (4). Lỗ hổng trong lõi bán hàng ảnh hưởng thanh toán và dữ liệu (5).</t>
        </is>
      </c>
      <c r="H5" s="16" t="inlineStr">
        <is>
          <t>CHƯA LÀM: nâng cấp sau khi sao lưu và thử trên bản sao.</t>
        </is>
      </c>
    </row>
    <row r="6">
      <c r="A6" t="inlineStr">
        <is>
          <t>Bản sao lưu</t>
        </is>
      </c>
      <c r="B6" t="inlineStr">
        <is>
          <t>Không mã hoá, nằm cùng máy, không có bản ngoại tuyến</t>
        </is>
      </c>
      <c r="C6" s="4" t="n">
        <v>3</v>
      </c>
      <c r="D6" s="4" t="n">
        <v>5</v>
      </c>
      <c r="E6">
        <f>C6*D6</f>
        <v/>
      </c>
      <c r="F6">
        <f>RANK(E6,$E$2:$E$13)</f>
        <v/>
      </c>
      <c r="G6" s="16" t="inlineStr">
        <is>
          <t>Máy bị mã độc tống tiền thì mất cả bản gốc lẫn bản sao (3). Mất toàn bộ đơn và khách (5).</t>
        </is>
      </c>
      <c r="H6" s="16" t="inlineStr">
        <is>
          <t>Đã thử phục hồi (3 giây, khớp 100%). CẦN: chép ra ổ ngoài, mã hoá, lịch tự động.</t>
        </is>
      </c>
    </row>
    <row r="7">
      <c r="A7" t="inlineStr">
        <is>
          <t>db-init.sql trong repo công khai</t>
        </is>
      </c>
      <c r="B7" t="inlineStr">
        <is>
          <t>Bản dump toàn bộ CSDL (đơn mẫu, mã băm mật khẩu)</t>
        </is>
      </c>
      <c r="C7" s="4" t="n">
        <v>4</v>
      </c>
      <c r="D7" s="4" t="n">
        <v>3</v>
      </c>
      <c r="E7">
        <f>C7*D7</f>
        <v/>
      </c>
      <c r="F7">
        <f>RANK(E7,$E$2:$E$13)</f>
        <v/>
      </c>
      <c r="G7" s="16" t="inlineStr">
        <is>
          <t>Ai cũng tải được (4). Dữ liệu là mẫu, mật khẩu đã băm (3).</t>
        </is>
      </c>
      <c r="H7" s="16" t="inlineStr">
        <is>
          <t>Đã xoá khoá VNPay, cập nhật mã băm mật khẩu mới. CẦN cân nhắc chỉ giữ dữ liệu mẫu tối thiểu.</t>
        </is>
      </c>
    </row>
    <row r="8">
      <c r="A8" t="inlineStr">
        <is>
          <t>Plugin VNPay (bên thứ ba)</t>
        </is>
      </c>
      <c r="B8" t="inlineStr">
        <is>
          <t>Tin phản hồi trình duyệt để xác nhận thanh toán; so chữ ký bằng ==</t>
        </is>
      </c>
      <c r="C8" s="4" t="n">
        <v>4</v>
      </c>
      <c r="D8" s="4" t="n">
        <v>5</v>
      </c>
      <c r="E8">
        <f>C8*D8</f>
        <v/>
      </c>
      <c r="F8">
        <f>RANK(E8,$E$2:$E$13)</f>
        <v/>
      </c>
      <c r="G8" s="16" t="inlineStr">
        <is>
          <t>Lỗi logic phổ biến, dễ khai thác (4). Nhận hàng không trả tiền (5).</t>
        </is>
      </c>
      <c r="H8" s="16" t="inlineStr">
        <is>
          <t>Đã sửa: chỉ IPN được đổi trạng thái, hash_equals, khớp số tiền; 6/6 kiểm thử đạt.</t>
        </is>
      </c>
    </row>
    <row r="9">
      <c r="A9" t="inlineStr">
        <is>
          <t>Trang quản trị</t>
        </is>
      </c>
      <c r="B9" t="inlineStr">
        <is>
          <t>Một tài khoản quản trị duy nhất dùng chung cả nhóm</t>
        </is>
      </c>
      <c r="C9" s="4" t="n">
        <v>3</v>
      </c>
      <c r="D9" s="4" t="n">
        <v>4</v>
      </c>
      <c r="E9">
        <f>C9*D9</f>
        <v/>
      </c>
      <c r="F9">
        <f>RANK(E9,$E$2:$E$13)</f>
        <v/>
      </c>
      <c r="G9" s="16" t="inlineStr">
        <is>
          <t>Không truy vết được ai làm gì (3); mất một máy là lộ quyền cao nhất (4).</t>
        </is>
      </c>
      <c r="H9" s="16" t="inlineStr">
        <is>
          <t>CẦN: mỗi thành viên một tài khoản Quản lý cửa hàng; tài khoản riêng cho giảng viên (TH15).</t>
        </is>
      </c>
    </row>
    <row r="10">
      <c r="A10" t="inlineStr">
        <is>
          <t>Nhật ký WooCommerce (wc-logs)</t>
        </is>
      </c>
      <c r="B10" t="inlineStr">
        <is>
          <t>Có thể chứa mã đơn, số tiền; từng bị đưa lên git</t>
        </is>
      </c>
      <c r="C10" s="4" t="n">
        <v>2</v>
      </c>
      <c r="D10" s="4" t="n">
        <v>3</v>
      </c>
      <c r="E10">
        <f>C10*D10</f>
        <v/>
      </c>
      <c r="F10">
        <f>RANK(E10,$E$2:$E$13)</f>
        <v/>
      </c>
      <c r="G10" s="16" t="inlineStr">
        <is>
          <t>Thư mục chặn truy cập web (403) (2). Lộ thông tin giao dịch (3).</t>
        </is>
      </c>
      <c r="H10" s="16" t="inlineStr">
        <is>
          <t>Đã gỡ khỏi git và gitignore.</t>
        </is>
      </c>
    </row>
    <row r="11">
      <c r="A11" t="inlineStr">
        <is>
          <t>Biểu mẫu lọc sản phẩm</t>
        </is>
      </c>
      <c r="B11" t="inlineStr">
        <is>
          <t>Tham số GET đưa vào truy vấn (chèn mã, kịch bản chéo trang)</t>
        </is>
      </c>
      <c r="C11" s="4" t="n">
        <v>2</v>
      </c>
      <c r="D11" s="4" t="n">
        <v>4</v>
      </c>
      <c r="E11">
        <f>C11*D11</f>
        <v/>
      </c>
      <c r="F11">
        <f>RANK(E11,$E$2:$E$13)</f>
        <v/>
      </c>
      <c r="G11" s="16" t="inlineStr">
        <is>
          <t>WooCommerce dùng truy vấn tham số hoá, rủi ro thấp (2). Nếu lọt thì đọc được CSDL (4).</t>
        </is>
      </c>
      <c r="H11" s="16" t="inlineStr">
        <is>
          <t>CẦN rà soát mã product-filters.php: làm sạch và escape mọi tham số.</t>
        </is>
      </c>
    </row>
    <row r="12">
      <c r="A12" t="inlineStr">
        <is>
          <t>Máy chủ trong mùa tựu trường</t>
        </is>
      </c>
      <c r="B12" t="inlineStr">
        <is>
          <t>Quá tải hoặc từ chối dịch vụ đúng tháng 8</t>
        </is>
      </c>
      <c r="C12" s="4" t="n">
        <v>2</v>
      </c>
      <c r="D12" s="4" t="n">
        <v>4</v>
      </c>
      <c r="E12">
        <f>C12*D12</f>
        <v/>
      </c>
      <c r="F12">
        <f>RANK(E12,$E$2:$E$13)</f>
        <v/>
      </c>
      <c r="G12" s="16" t="inlineStr">
        <is>
          <t>Cửa hàng nhỏ ít bị nhắm (2). Ngừng bán đúng mùa cao điểm (4).</t>
        </is>
      </c>
      <c r="H12" s="16" t="inlineStr">
        <is>
          <t>Đã có nén, cache trình duyệt. Khi triển khai thật: CDN, giới hạn tần suất.</t>
        </is>
      </c>
    </row>
    <row r="13">
      <c r="A13" t="inlineStr">
        <is>
          <t>Email khách hàng</t>
        </is>
      </c>
      <c r="B13" t="inlineStr">
        <is>
          <t>Lừa đảo giả danh cửa hàng (thiếu SPF/DKIM)</t>
        </is>
      </c>
      <c r="C13" s="4" t="n">
        <v>2</v>
      </c>
      <c r="D13" s="4" t="n">
        <v>3</v>
      </c>
      <c r="E13">
        <f>C13*D13</f>
        <v/>
      </c>
      <c r="F13">
        <f>RANK(E13,$E$2:$E$13)</f>
        <v/>
      </c>
      <c r="G13" s="16" t="inlineStr">
        <is>
          <t>Cửa hàng chưa nổi tiếng (2). Mất uy tín, khách bị lừa (3).</t>
        </is>
      </c>
      <c r="H13" s="16" t="inlineStr">
        <is>
          <t>Khi có tên miền thật: SPF, DKIM, DMARC.</t>
        </is>
      </c>
    </row>
    <row r="15">
      <c r="A15" s="6" t="inlineStr">
        <is>
          <t>Điểm = khả năng × tác động (lý thuyết buổi 7, slide 23). Khả năng: lỗ hổng có phổ biến và bị tấn công tự động nhắm tới không. Tác động: tài chính, uy tín, nghĩa vụ pháp lý.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16" customWidth="1" min="3" max="3"/>
    <col width="14" customWidth="1" min="4" max="4"/>
    <col width="56" customWidth="1" min="5" max="5"/>
  </cols>
  <sheetData>
    <row r="1">
      <c r="A1" s="7" t="inlineStr">
        <is>
          <t>Chỉ số</t>
        </is>
      </c>
      <c r="B1" s="7" t="inlineStr">
        <is>
          <t>Cách đo</t>
        </is>
      </c>
      <c r="C1" s="7" t="inlineStr">
        <is>
          <t>Giá trị hiện tại</t>
        </is>
      </c>
      <c r="D1" s="7" t="inlineStr">
        <is>
          <t>Mục tiêu</t>
        </is>
      </c>
      <c r="E1" s="7" t="inlineStr">
        <is>
          <t>Cho biết vấn đề ở đâu</t>
        </is>
      </c>
    </row>
    <row r="2">
      <c r="A2" t="inlineStr">
        <is>
          <t>Thời gian xử lý đơn (giờ)</t>
        </is>
      </c>
      <c r="B2" t="inlineStr">
        <is>
          <t>Từ lúc đơn sang Đang xử lý tới lúc bàn giao vận chuyển (ghi chú đơn)</t>
        </is>
      </c>
      <c r="C2" t="inlineStr">
        <is>
          <t>Chưa đo</t>
        </is>
      </c>
      <c r="D2" t="n">
        <v>24</v>
      </c>
      <c r="E2" t="inlineStr">
        <is>
          <t>Nội bộ - cửa hàng kiểm soát hoàn toàn</t>
        </is>
      </c>
    </row>
    <row r="3">
      <c r="A3" t="inlineStr">
        <is>
          <t>Thời gian giao hàng (ngày)</t>
        </is>
      </c>
      <c r="B3" t="inlineStr">
        <is>
          <t>Từ bàn giao tới khách nhận (mã vận đơn)</t>
        </is>
      </c>
      <c r="C3" t="inlineStr">
        <is>
          <t>Chưa đo</t>
        </is>
      </c>
      <c r="D3" t="n">
        <v>4</v>
      </c>
      <c r="E3" t="inlineStr">
        <is>
          <t>Đối tác vận chuyển</t>
        </is>
      </c>
    </row>
    <row r="4">
      <c r="A4" t="inlineStr">
        <is>
          <t>Tỷ lệ giao thành công lần đầu</t>
        </is>
      </c>
      <c r="B4" t="inlineStr">
        <is>
          <t>Số đơn giao được ngay ÷ số đơn giao</t>
        </is>
      </c>
      <c r="C4" s="9" t="inlineStr">
        <is>
          <t>Chưa đo</t>
        </is>
      </c>
      <c r="D4" s="9" t="n">
        <v>0.95</v>
      </c>
      <c r="E4" t="inlineStr">
        <is>
          <t>Kiểm tra địa chỉ khi đặt, gọi trước giờ giao</t>
        </is>
      </c>
    </row>
    <row r="5">
      <c r="A5" t="inlineStr">
        <is>
          <t>Tỷ lệ hoàn hàng (tách theo nguyên nhân)</t>
        </is>
      </c>
      <c r="B5" t="inlineStr">
        <is>
          <t>Đơn hoàn ÷ đơn giao; nguyên nhân: lỗi / sai mô tả / đổi ý (theo chính sách đổi trả)</t>
        </is>
      </c>
      <c r="C5" s="9">
        <f>GiaDinh!$B$7</f>
        <v/>
      </c>
      <c r="D5" s="9" t="n">
        <v>0.03</v>
      </c>
      <c r="E5" t="inlineStr">
        <is>
          <t>Hàng lỗi → chất lượng; sai mô tả → trang sản phẩm</t>
        </is>
      </c>
    </row>
    <row r="6">
      <c r="A6" t="inlineStr">
        <is>
          <t>Độ chính xác đơn hàng</t>
        </is>
      </c>
      <c r="B6" t="inlineStr">
        <is>
          <t>Đơn đúng sản phẩm, số lượng ÷ tổng đơn</t>
        </is>
      </c>
      <c r="C6" s="9" t="inlineStr">
        <is>
          <t>Chưa đo</t>
        </is>
      </c>
      <c r="D6" s="9" t="n">
        <v>0.99</v>
      </c>
      <c r="E6" t="inlineStr">
        <is>
          <t>Khâu chọn và đóng gói</t>
        </is>
      </c>
    </row>
    <row r="7">
      <c r="A7" t="inlineStr">
        <is>
          <t>Chi phí logistics mỗi đơn</t>
        </is>
      </c>
      <c r="B7" t="inlineStr">
        <is>
          <t>Ship cửa hàng chịu + đóng gói + tỷ lệ hoàn × chi phí hoàn</t>
        </is>
      </c>
      <c r="C7" s="8">
        <f>GiaDinh!$B$4*IF(GiaDinh!$B$2&gt;=GiaDinh!$B$5,1,0)+GiaDinh!$B$6+GiaDinh!$B$7*GiaDinh!$B$8</f>
        <v/>
      </c>
      <c r="D7" t="inlineStr"/>
      <c r="E7" t="inlineStr">
        <is>
          <t>So với lợi nhuận gộp mỗi đơn (dòng dưới)</t>
        </is>
      </c>
    </row>
    <row r="8">
      <c r="A8" t="inlineStr">
        <is>
          <t>Lợi nhuận gộp mỗi đơn trung bình</t>
        </is>
      </c>
      <c r="B8" t="inlineStr">
        <is>
          <t>Đơn trung bình × biên gộp</t>
        </is>
      </c>
      <c r="C8" s="8">
        <f>GiaDinh!$B$2*GiaDinh!$B$3</f>
        <v/>
      </c>
      <c r="D8" t="inlineStr"/>
      <c r="E8" t="inlineStr"/>
    </row>
    <row r="9">
      <c r="A9" t="inlineStr">
        <is>
          <t>Chi phí logistics / lợi nhuận gộp</t>
        </is>
      </c>
      <c r="B9" t="inlineStr"/>
      <c r="C9" s="9">
        <f>C7/C8</f>
        <v/>
      </c>
      <c r="D9" s="9" t="n">
        <v>0.3</v>
      </c>
      <c r="E9" t="inlineStr">
        <is>
          <t>Vượt 100% thì bán càng nhiều càng lỗ (slide 8)</t>
        </is>
      </c>
    </row>
    <row r="10">
      <c r="A10" t="inlineStr">
        <is>
          <t>Ngưỡng miễn phí / đơn trung bình</t>
        </is>
      </c>
      <c r="B10" t="inlineStr"/>
      <c r="C10" s="11">
        <f>GiaDinh!$B$5/GiaDinh!$B$2</f>
        <v/>
      </c>
      <c r="D10" t="inlineStr">
        <is>
          <t>1,1–1,2</t>
        </is>
      </c>
      <c r="E10" t="inlineStr">
        <is>
          <t>Lý thuyết buổi 10 slide 9; hướng dẫn TH12 bước 12.2</t>
        </is>
      </c>
    </row>
    <row r="12">
      <c r="A12" s="6" t="inlineStr">
        <is>
          <t>Các chỉ số 'Chưa đo' cần dữ liệu vận hành thật; cửa hàng thử nghiệm chưa có đơn vị vận chuyển. Chi phí logistics tính theo giả định ở sheet GiaDinh.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2026-10-11T09:05:48Z</dcterms:created>
  <dcterms:modified xsi:type="dcterms:W3CDTF">2026-10-11T09:05:48Z</dcterms:modified>
</cp:coreProperties>
</file>